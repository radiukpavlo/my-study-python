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itHub\my-study-python\06_conferences\"/>
    </mc:Choice>
  </mc:AlternateContent>
  <xr:revisionPtr revIDLastSave="0" documentId="13_ncr:1_{0B0B333C-3ED6-4B1B-999C-7E16D330935E}" xr6:coauthVersionLast="47" xr6:coauthVersionMax="47" xr10:uidLastSave="{00000000-0000-0000-0000-000000000000}"/>
  <bookViews>
    <workbookView xWindow="4800" yWindow="2810" windowWidth="14400" windowHeight="7270" xr2:uid="{00000000-000D-0000-FFFF-FFFF00000000}"/>
  </bookViews>
  <sheets>
    <sheet name="Conferences" sheetId="1" r:id="rId1"/>
    <sheet name="Dashboard" sheetId="2" r:id="rId2"/>
    <sheet name="Active Pipeline" sheetId="3" r:id="rId3"/>
    <sheet name="Verification Log" sheetId="4" r:id="rId4"/>
    <sheet name="Notes &amp; Legend" sheetId="5" r:id="rId5"/>
  </sheets>
  <definedNames>
    <definedName name="_xlnm._FilterDatabase" localSheetId="2" hidden="1">'Active Pipeline'!$B$5:$N$33</definedName>
    <definedName name="_xlnm._FilterDatabase" localSheetId="0" hidden="1">Conferences!$A$1:$AG$104</definedName>
    <definedName name="_xlnm._FilterDatabase" localSheetId="3" hidden="1">'Verification Log'!$B$5:$F$847</definedName>
    <definedName name="_xlnm.Print_Area" localSheetId="2">'Active Pipeline'!$B$2:$N$33</definedName>
    <definedName name="_xlnm.Print_Area" localSheetId="0">Conferences!$A$1:$AG$104</definedName>
    <definedName name="_xlnm.Print_Area" localSheetId="1">Dashboard!$B$2:$F$35</definedName>
    <definedName name="_xlnm.Print_Area" localSheetId="4">'Notes &amp; Legend'!$B$2:$D$67</definedName>
    <definedName name="_xlnm.Print_Area" localSheetId="3">'Verification Log'!$B$2:$E$409</definedName>
    <definedName name="_xlnm.Print_Titles" localSheetId="2">'Active Pipeline'!$5:$5</definedName>
    <definedName name="_xlnm.Print_Titles" localSheetId="0">Conferences!$1:$1</definedName>
    <definedName name="_xlnm.Print_Titles" localSheetId="3">'Verification Log'!$5:$5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3" i="3" l="1"/>
  <c r="K33" i="3"/>
  <c r="J33" i="3"/>
  <c r="I33" i="3"/>
  <c r="H33" i="3"/>
  <c r="G33" i="3"/>
  <c r="F33" i="3"/>
  <c r="E33" i="3"/>
  <c r="D33" i="3"/>
  <c r="C33" i="3"/>
  <c r="B33" i="3"/>
  <c r="L32" i="3"/>
  <c r="K32" i="3"/>
  <c r="J32" i="3"/>
  <c r="I32" i="3"/>
  <c r="H32" i="3"/>
  <c r="G32" i="3"/>
  <c r="F32" i="3"/>
  <c r="E32" i="3"/>
  <c r="D32" i="3"/>
  <c r="C32" i="3"/>
  <c r="B32" i="3"/>
  <c r="L31" i="3"/>
  <c r="K31" i="3"/>
  <c r="J31" i="3"/>
  <c r="I31" i="3"/>
  <c r="H31" i="3"/>
  <c r="G31" i="3"/>
  <c r="F31" i="3"/>
  <c r="E31" i="3"/>
  <c r="D31" i="3"/>
  <c r="C31" i="3"/>
  <c r="B31" i="3"/>
  <c r="L30" i="3"/>
  <c r="K30" i="3"/>
  <c r="J30" i="3"/>
  <c r="I30" i="3"/>
  <c r="H30" i="3"/>
  <c r="G30" i="3"/>
  <c r="F30" i="3"/>
  <c r="E30" i="3"/>
  <c r="D30" i="3"/>
  <c r="C30" i="3"/>
  <c r="B30" i="3"/>
  <c r="L29" i="3"/>
  <c r="K29" i="3"/>
  <c r="J29" i="3"/>
  <c r="I29" i="3"/>
  <c r="H29" i="3"/>
  <c r="G29" i="3"/>
  <c r="F29" i="3"/>
  <c r="E29" i="3"/>
  <c r="D29" i="3"/>
  <c r="C29" i="3"/>
  <c r="B29" i="3"/>
  <c r="L28" i="3"/>
  <c r="K28" i="3"/>
  <c r="J28" i="3"/>
  <c r="I28" i="3"/>
  <c r="H28" i="3"/>
  <c r="G28" i="3"/>
  <c r="F28" i="3"/>
  <c r="E28" i="3"/>
  <c r="D28" i="3"/>
  <c r="C28" i="3"/>
  <c r="B28" i="3"/>
  <c r="L27" i="3"/>
  <c r="K27" i="3"/>
  <c r="J27" i="3"/>
  <c r="I27" i="3"/>
  <c r="H27" i="3"/>
  <c r="G27" i="3"/>
  <c r="F27" i="3"/>
  <c r="E27" i="3"/>
  <c r="D27" i="3"/>
  <c r="C27" i="3"/>
  <c r="B27" i="3"/>
  <c r="L26" i="3"/>
  <c r="K26" i="3"/>
  <c r="J26" i="3"/>
  <c r="I26" i="3"/>
  <c r="H26" i="3"/>
  <c r="G26" i="3"/>
  <c r="F26" i="3"/>
  <c r="E26" i="3"/>
  <c r="D26" i="3"/>
  <c r="C26" i="3"/>
  <c r="B26" i="3"/>
  <c r="L25" i="3"/>
  <c r="K25" i="3"/>
  <c r="J25" i="3"/>
  <c r="I25" i="3"/>
  <c r="H25" i="3"/>
  <c r="G25" i="3"/>
  <c r="F25" i="3"/>
  <c r="E25" i="3"/>
  <c r="D25" i="3"/>
  <c r="C25" i="3"/>
  <c r="B25" i="3"/>
  <c r="L24" i="3"/>
  <c r="K24" i="3"/>
  <c r="J24" i="3"/>
  <c r="I24" i="3"/>
  <c r="H24" i="3"/>
  <c r="G24" i="3"/>
  <c r="F24" i="3"/>
  <c r="E24" i="3"/>
  <c r="D24" i="3"/>
  <c r="C24" i="3"/>
  <c r="B24" i="3"/>
  <c r="L23" i="3"/>
  <c r="K23" i="3"/>
  <c r="J23" i="3"/>
  <c r="I23" i="3"/>
  <c r="H23" i="3"/>
  <c r="G23" i="3"/>
  <c r="F23" i="3"/>
  <c r="E23" i="3"/>
  <c r="D23" i="3"/>
  <c r="C23" i="3"/>
  <c r="B23" i="3"/>
  <c r="L22" i="3"/>
  <c r="K22" i="3"/>
  <c r="J22" i="3"/>
  <c r="I22" i="3"/>
  <c r="H22" i="3"/>
  <c r="G22" i="3"/>
  <c r="F22" i="3"/>
  <c r="E22" i="3"/>
  <c r="D22" i="3"/>
  <c r="C22" i="3"/>
  <c r="B22" i="3"/>
  <c r="L21" i="3"/>
  <c r="K21" i="3"/>
  <c r="J21" i="3"/>
  <c r="I21" i="3"/>
  <c r="H21" i="3"/>
  <c r="G21" i="3"/>
  <c r="F21" i="3"/>
  <c r="E21" i="3"/>
  <c r="D21" i="3"/>
  <c r="C21" i="3"/>
  <c r="B21" i="3"/>
  <c r="L20" i="3"/>
  <c r="K20" i="3"/>
  <c r="J20" i="3"/>
  <c r="I20" i="3"/>
  <c r="H20" i="3"/>
  <c r="G20" i="3"/>
  <c r="F20" i="3"/>
  <c r="E20" i="3"/>
  <c r="D20" i="3"/>
  <c r="C20" i="3"/>
  <c r="B20" i="3"/>
  <c r="L19" i="3"/>
  <c r="K19" i="3"/>
  <c r="J19" i="3"/>
  <c r="I19" i="3"/>
  <c r="H19" i="3"/>
  <c r="G19" i="3"/>
  <c r="F19" i="3"/>
  <c r="E19" i="3"/>
  <c r="D19" i="3"/>
  <c r="C19" i="3"/>
  <c r="B19" i="3"/>
  <c r="L18" i="3"/>
  <c r="K18" i="3"/>
  <c r="J18" i="3"/>
  <c r="I18" i="3"/>
  <c r="H18" i="3"/>
  <c r="G18" i="3"/>
  <c r="F18" i="3"/>
  <c r="E18" i="3"/>
  <c r="D18" i="3"/>
  <c r="C18" i="3"/>
  <c r="B18" i="3"/>
  <c r="L17" i="3"/>
  <c r="K17" i="3"/>
  <c r="J17" i="3"/>
  <c r="I17" i="3"/>
  <c r="H17" i="3"/>
  <c r="G17" i="3"/>
  <c r="F17" i="3"/>
  <c r="E17" i="3"/>
  <c r="D17" i="3"/>
  <c r="C17" i="3"/>
  <c r="B17" i="3"/>
  <c r="L16" i="3"/>
  <c r="K16" i="3"/>
  <c r="J16" i="3"/>
  <c r="I16" i="3"/>
  <c r="H16" i="3"/>
  <c r="G16" i="3"/>
  <c r="F16" i="3"/>
  <c r="E16" i="3"/>
  <c r="D16" i="3"/>
  <c r="C16" i="3"/>
  <c r="B16" i="3"/>
  <c r="L15" i="3"/>
  <c r="K15" i="3"/>
  <c r="J15" i="3"/>
  <c r="I15" i="3"/>
  <c r="H15" i="3"/>
  <c r="G15" i="3"/>
  <c r="F15" i="3"/>
  <c r="E15" i="3"/>
  <c r="D15" i="3"/>
  <c r="C15" i="3"/>
  <c r="B15" i="3"/>
  <c r="L14" i="3"/>
  <c r="K14" i="3"/>
  <c r="J14" i="3"/>
  <c r="I14" i="3"/>
  <c r="H14" i="3"/>
  <c r="G14" i="3"/>
  <c r="F14" i="3"/>
  <c r="E14" i="3"/>
  <c r="D14" i="3"/>
  <c r="C14" i="3"/>
  <c r="B14" i="3"/>
  <c r="L13" i="3"/>
  <c r="K13" i="3"/>
  <c r="J13" i="3"/>
  <c r="I13" i="3"/>
  <c r="H13" i="3"/>
  <c r="G13" i="3"/>
  <c r="F13" i="3"/>
  <c r="E13" i="3"/>
  <c r="D13" i="3"/>
  <c r="C13" i="3"/>
  <c r="B13" i="3"/>
  <c r="M12" i="3"/>
  <c r="L12" i="3"/>
  <c r="K12" i="3"/>
  <c r="J12" i="3"/>
  <c r="I12" i="3"/>
  <c r="H12" i="3"/>
  <c r="G12" i="3"/>
  <c r="F12" i="3"/>
  <c r="E12" i="3"/>
  <c r="D12" i="3"/>
  <c r="C12" i="3"/>
  <c r="B12" i="3"/>
  <c r="L11" i="3"/>
  <c r="K11" i="3"/>
  <c r="J11" i="3"/>
  <c r="I11" i="3"/>
  <c r="H11" i="3"/>
  <c r="G11" i="3"/>
  <c r="F11" i="3"/>
  <c r="E11" i="3"/>
  <c r="D11" i="3"/>
  <c r="C11" i="3"/>
  <c r="B11" i="3"/>
  <c r="L10" i="3"/>
  <c r="K10" i="3"/>
  <c r="J10" i="3"/>
  <c r="I10" i="3"/>
  <c r="H10" i="3"/>
  <c r="G10" i="3"/>
  <c r="F10" i="3"/>
  <c r="E10" i="3"/>
  <c r="D10" i="3"/>
  <c r="C10" i="3"/>
  <c r="B10" i="3"/>
  <c r="L9" i="3"/>
  <c r="K9" i="3"/>
  <c r="J9" i="3"/>
  <c r="I9" i="3"/>
  <c r="H9" i="3"/>
  <c r="G9" i="3"/>
  <c r="F9" i="3"/>
  <c r="E9" i="3"/>
  <c r="D9" i="3"/>
  <c r="C9" i="3"/>
  <c r="B9" i="3"/>
  <c r="L8" i="3"/>
  <c r="K8" i="3"/>
  <c r="J8" i="3"/>
  <c r="I8" i="3"/>
  <c r="H8" i="3"/>
  <c r="G8" i="3"/>
  <c r="F8" i="3"/>
  <c r="E8" i="3"/>
  <c r="D8" i="3"/>
  <c r="C8" i="3"/>
  <c r="B8" i="3"/>
  <c r="L7" i="3"/>
  <c r="K7" i="3"/>
  <c r="J7" i="3"/>
  <c r="I7" i="3"/>
  <c r="H7" i="3"/>
  <c r="G7" i="3"/>
  <c r="F7" i="3"/>
  <c r="E7" i="3"/>
  <c r="D7" i="3"/>
  <c r="C7" i="3"/>
  <c r="B7" i="3"/>
  <c r="L6" i="3"/>
  <c r="K6" i="3"/>
  <c r="J6" i="3"/>
  <c r="I6" i="3"/>
  <c r="H6" i="3"/>
  <c r="G6" i="3"/>
  <c r="F6" i="3"/>
  <c r="E6" i="3"/>
  <c r="D6" i="3"/>
  <c r="C6" i="3"/>
  <c r="B6" i="3"/>
  <c r="F35" i="2"/>
  <c r="F34" i="2"/>
  <c r="F33" i="2"/>
  <c r="F32" i="2"/>
  <c r="C32" i="2"/>
  <c r="C31" i="2"/>
  <c r="C30" i="2"/>
  <c r="F29" i="2"/>
  <c r="C29" i="2"/>
  <c r="F28" i="2"/>
  <c r="C28" i="2"/>
  <c r="F27" i="2"/>
  <c r="C27" i="2"/>
  <c r="F26" i="2"/>
  <c r="C26" i="2"/>
  <c r="F25" i="2"/>
  <c r="C25" i="2"/>
  <c r="F24" i="2"/>
  <c r="C24" i="2"/>
  <c r="F23" i="2"/>
  <c r="F22" i="2"/>
  <c r="C21" i="2"/>
  <c r="F19" i="2"/>
  <c r="F18" i="2"/>
  <c r="F17" i="2"/>
  <c r="F16" i="2"/>
  <c r="F14" i="2"/>
  <c r="F13" i="2"/>
  <c r="F10" i="2"/>
  <c r="F9" i="2"/>
  <c r="C9" i="2"/>
  <c r="F8" i="2"/>
  <c r="C8" i="2"/>
  <c r="F7" i="2"/>
  <c r="C7" i="2"/>
  <c r="F6" i="2"/>
  <c r="C6" i="2"/>
  <c r="Y104" i="1"/>
  <c r="X104" i="1"/>
  <c r="H104" i="1"/>
  <c r="Y103" i="1"/>
  <c r="X103" i="1"/>
  <c r="H103" i="1"/>
  <c r="Y102" i="1"/>
  <c r="X102" i="1"/>
  <c r="H102" i="1"/>
  <c r="Y101" i="1"/>
  <c r="X101" i="1"/>
  <c r="H101" i="1"/>
  <c r="Y100" i="1"/>
  <c r="X100" i="1"/>
  <c r="H100" i="1"/>
  <c r="Y99" i="1"/>
  <c r="X99" i="1"/>
  <c r="H99" i="1"/>
  <c r="Y98" i="1"/>
  <c r="X98" i="1"/>
  <c r="H98" i="1"/>
  <c r="Y97" i="1"/>
  <c r="X97" i="1"/>
  <c r="H97" i="1"/>
  <c r="Y96" i="1"/>
  <c r="X96" i="1"/>
  <c r="H96" i="1"/>
  <c r="Y95" i="1"/>
  <c r="X95" i="1"/>
  <c r="H95" i="1"/>
  <c r="Y94" i="1"/>
  <c r="X94" i="1"/>
  <c r="H94" i="1"/>
  <c r="Y93" i="1"/>
  <c r="X93" i="1"/>
  <c r="H93" i="1"/>
  <c r="Y92" i="1"/>
  <c r="X92" i="1"/>
  <c r="H92" i="1"/>
  <c r="Y91" i="1"/>
  <c r="X91" i="1"/>
  <c r="H91" i="1"/>
  <c r="Y90" i="1"/>
  <c r="X90" i="1"/>
  <c r="H90" i="1"/>
  <c r="Y89" i="1"/>
  <c r="X89" i="1"/>
  <c r="H89" i="1"/>
  <c r="Y88" i="1"/>
  <c r="X88" i="1"/>
  <c r="H88" i="1"/>
  <c r="Y87" i="1"/>
  <c r="X87" i="1"/>
  <c r="H87" i="1"/>
  <c r="Y86" i="1"/>
  <c r="X86" i="1"/>
  <c r="H86" i="1"/>
  <c r="Y85" i="1"/>
  <c r="X85" i="1"/>
  <c r="H85" i="1"/>
  <c r="Y84" i="1"/>
  <c r="X84" i="1"/>
  <c r="H84" i="1"/>
  <c r="Y83" i="1"/>
  <c r="X83" i="1"/>
  <c r="H83" i="1"/>
  <c r="Y82" i="1"/>
  <c r="X82" i="1"/>
  <c r="H82" i="1"/>
  <c r="Y81" i="1"/>
  <c r="X81" i="1"/>
  <c r="H81" i="1"/>
  <c r="Y80" i="1"/>
  <c r="X80" i="1"/>
  <c r="H80" i="1"/>
  <c r="Y79" i="1"/>
  <c r="X79" i="1"/>
  <c r="H79" i="1"/>
  <c r="Y78" i="1"/>
  <c r="X78" i="1"/>
  <c r="H78" i="1"/>
  <c r="Y77" i="1"/>
  <c r="X77" i="1"/>
  <c r="H77" i="1"/>
  <c r="Y76" i="1"/>
  <c r="X76" i="1"/>
  <c r="H76" i="1"/>
  <c r="Y75" i="1"/>
  <c r="X75" i="1"/>
  <c r="H75" i="1"/>
  <c r="Y74" i="1"/>
  <c r="X74" i="1"/>
  <c r="H74" i="1"/>
  <c r="Y73" i="1"/>
  <c r="X73" i="1"/>
  <c r="H73" i="1"/>
  <c r="Y72" i="1"/>
  <c r="X72" i="1"/>
  <c r="H72" i="1"/>
  <c r="Y71" i="1"/>
  <c r="X71" i="1"/>
  <c r="H71" i="1"/>
  <c r="Y70" i="1"/>
  <c r="X70" i="1"/>
  <c r="H70" i="1"/>
  <c r="Y69" i="1"/>
  <c r="X69" i="1"/>
  <c r="H69" i="1"/>
  <c r="Y68" i="1"/>
  <c r="X68" i="1"/>
  <c r="H68" i="1"/>
  <c r="Y67" i="1"/>
  <c r="X67" i="1"/>
  <c r="H67" i="1"/>
  <c r="Y66" i="1"/>
  <c r="X66" i="1"/>
  <c r="H66" i="1"/>
  <c r="Y65" i="1"/>
  <c r="X65" i="1"/>
  <c r="H65" i="1"/>
  <c r="Y64" i="1"/>
  <c r="X64" i="1"/>
  <c r="H64" i="1"/>
  <c r="Y63" i="1"/>
  <c r="X63" i="1"/>
  <c r="H63" i="1"/>
  <c r="Y62" i="1"/>
  <c r="X62" i="1"/>
  <c r="H62" i="1"/>
  <c r="Y61" i="1"/>
  <c r="X61" i="1"/>
  <c r="H61" i="1"/>
  <c r="Y60" i="1"/>
  <c r="X60" i="1"/>
  <c r="H60" i="1"/>
  <c r="Y59" i="1"/>
  <c r="X59" i="1"/>
  <c r="H59" i="1"/>
  <c r="Y58" i="1"/>
  <c r="X58" i="1"/>
  <c r="H58" i="1"/>
  <c r="Y57" i="1"/>
  <c r="X57" i="1"/>
  <c r="H57" i="1"/>
  <c r="Y56" i="1"/>
  <c r="X56" i="1"/>
  <c r="H56" i="1"/>
  <c r="Y55" i="1"/>
  <c r="X55" i="1"/>
  <c r="H55" i="1"/>
  <c r="Y54" i="1"/>
  <c r="X54" i="1"/>
  <c r="H54" i="1"/>
  <c r="Y53" i="1"/>
  <c r="X53" i="1"/>
  <c r="H53" i="1"/>
  <c r="Y52" i="1"/>
  <c r="X52" i="1"/>
  <c r="H52" i="1"/>
  <c r="Y51" i="1"/>
  <c r="X51" i="1"/>
  <c r="H51" i="1"/>
  <c r="Y50" i="1"/>
  <c r="X50" i="1"/>
  <c r="H50" i="1"/>
  <c r="Y49" i="1"/>
  <c r="X49" i="1"/>
  <c r="H49" i="1"/>
  <c r="Y48" i="1"/>
  <c r="X48" i="1"/>
  <c r="H48" i="1"/>
  <c r="Y47" i="1"/>
  <c r="X47" i="1"/>
  <c r="H47" i="1"/>
  <c r="Y46" i="1"/>
  <c r="X46" i="1"/>
  <c r="H46" i="1"/>
  <c r="Y45" i="1"/>
  <c r="X45" i="1"/>
  <c r="H45" i="1"/>
  <c r="Y44" i="1"/>
  <c r="X44" i="1"/>
  <c r="H44" i="1"/>
  <c r="Y43" i="1"/>
  <c r="X43" i="1"/>
  <c r="H43" i="1"/>
  <c r="Y42" i="1"/>
  <c r="X42" i="1"/>
  <c r="H42" i="1"/>
  <c r="Y41" i="1"/>
  <c r="X41" i="1"/>
  <c r="H41" i="1"/>
  <c r="Y40" i="1"/>
  <c r="X40" i="1"/>
  <c r="H40" i="1"/>
  <c r="Y39" i="1"/>
  <c r="X39" i="1"/>
  <c r="H39" i="1"/>
  <c r="Y38" i="1"/>
  <c r="X38" i="1"/>
  <c r="H38" i="1"/>
  <c r="Y37" i="1"/>
  <c r="X37" i="1"/>
  <c r="H37" i="1"/>
  <c r="Y36" i="1"/>
  <c r="X36" i="1"/>
  <c r="H36" i="1"/>
  <c r="Y35" i="1"/>
  <c r="X35" i="1"/>
  <c r="H35" i="1"/>
  <c r="Y34" i="1"/>
  <c r="X34" i="1"/>
  <c r="H34" i="1"/>
  <c r="Y33" i="1"/>
  <c r="X33" i="1"/>
  <c r="H33" i="1"/>
  <c r="Y32" i="1"/>
  <c r="X32" i="1"/>
  <c r="H32" i="1"/>
  <c r="Y31" i="1"/>
  <c r="X31" i="1"/>
  <c r="H31" i="1"/>
  <c r="Y30" i="1"/>
  <c r="X30" i="1"/>
  <c r="H30" i="1"/>
  <c r="Y29" i="1"/>
  <c r="N33" i="3" s="1"/>
  <c r="X29" i="1"/>
  <c r="M33" i="3" s="1"/>
  <c r="H29" i="1"/>
  <c r="Y28" i="1"/>
  <c r="N32" i="3" s="1"/>
  <c r="X28" i="1"/>
  <c r="M32" i="3" s="1"/>
  <c r="H28" i="1"/>
  <c r="Y27" i="1"/>
  <c r="N31" i="3" s="1"/>
  <c r="X27" i="1"/>
  <c r="M31" i="3" s="1"/>
  <c r="H27" i="1"/>
  <c r="Y26" i="1"/>
  <c r="N30" i="3" s="1"/>
  <c r="X26" i="1"/>
  <c r="M30" i="3" s="1"/>
  <c r="H26" i="1"/>
  <c r="Y25" i="1"/>
  <c r="N29" i="3" s="1"/>
  <c r="X25" i="1"/>
  <c r="M29" i="3" s="1"/>
  <c r="H25" i="1"/>
  <c r="Y24" i="1"/>
  <c r="N28" i="3" s="1"/>
  <c r="X24" i="1"/>
  <c r="M28" i="3" s="1"/>
  <c r="H24" i="1"/>
  <c r="Y23" i="1"/>
  <c r="N27" i="3" s="1"/>
  <c r="X23" i="1"/>
  <c r="M27" i="3" s="1"/>
  <c r="H23" i="1"/>
  <c r="Y22" i="1"/>
  <c r="N26" i="3" s="1"/>
  <c r="X22" i="1"/>
  <c r="M26" i="3" s="1"/>
  <c r="H22" i="1"/>
  <c r="Y21" i="1"/>
  <c r="N25" i="3" s="1"/>
  <c r="X21" i="1"/>
  <c r="M25" i="3" s="1"/>
  <c r="H21" i="1"/>
  <c r="Y20" i="1"/>
  <c r="N24" i="3" s="1"/>
  <c r="X20" i="1"/>
  <c r="M24" i="3" s="1"/>
  <c r="H20" i="1"/>
  <c r="Y19" i="1"/>
  <c r="N23" i="3" s="1"/>
  <c r="X19" i="1"/>
  <c r="M23" i="3" s="1"/>
  <c r="H19" i="1"/>
  <c r="Y18" i="1"/>
  <c r="N22" i="3" s="1"/>
  <c r="X18" i="1"/>
  <c r="M22" i="3" s="1"/>
  <c r="H18" i="1"/>
  <c r="Y17" i="1"/>
  <c r="N21" i="3" s="1"/>
  <c r="X17" i="1"/>
  <c r="M21" i="3" s="1"/>
  <c r="H17" i="1"/>
  <c r="Y16" i="1"/>
  <c r="N20" i="3" s="1"/>
  <c r="X16" i="1"/>
  <c r="M20" i="3" s="1"/>
  <c r="H16" i="1"/>
  <c r="Y15" i="1"/>
  <c r="N19" i="3" s="1"/>
  <c r="X15" i="1"/>
  <c r="M19" i="3" s="1"/>
  <c r="H15" i="1"/>
  <c r="Y14" i="1"/>
  <c r="N18" i="3" s="1"/>
  <c r="X14" i="1"/>
  <c r="M18" i="3" s="1"/>
  <c r="H14" i="1"/>
  <c r="Y13" i="1"/>
  <c r="N17" i="3" s="1"/>
  <c r="X13" i="1"/>
  <c r="M17" i="3" s="1"/>
  <c r="H13" i="1"/>
  <c r="Y12" i="1"/>
  <c r="N16" i="3" s="1"/>
  <c r="X12" i="1"/>
  <c r="M16" i="3" s="1"/>
  <c r="H12" i="1"/>
  <c r="Y11" i="1"/>
  <c r="N15" i="3" s="1"/>
  <c r="X11" i="1"/>
  <c r="M15" i="3" s="1"/>
  <c r="H11" i="1"/>
  <c r="Y10" i="1"/>
  <c r="N14" i="3" s="1"/>
  <c r="X10" i="1"/>
  <c r="M14" i="3" s="1"/>
  <c r="H10" i="1"/>
  <c r="Y9" i="1"/>
  <c r="N13" i="3" s="1"/>
  <c r="X9" i="1"/>
  <c r="M13" i="3" s="1"/>
  <c r="H9" i="1"/>
  <c r="Y8" i="1"/>
  <c r="N12" i="3" s="1"/>
  <c r="X8" i="1"/>
  <c r="H8" i="1"/>
  <c r="Y7" i="1"/>
  <c r="N11" i="3" s="1"/>
  <c r="X7" i="1"/>
  <c r="M11" i="3" s="1"/>
  <c r="H7" i="1"/>
  <c r="Y6" i="1"/>
  <c r="N10" i="3" s="1"/>
  <c r="X6" i="1"/>
  <c r="M10" i="3" s="1"/>
  <c r="H6" i="1"/>
  <c r="Y5" i="1"/>
  <c r="N9" i="3" s="1"/>
  <c r="X5" i="1"/>
  <c r="M9" i="3" s="1"/>
  <c r="H5" i="1"/>
  <c r="Y4" i="1"/>
  <c r="N8" i="3" s="1"/>
  <c r="X4" i="1"/>
  <c r="M8" i="3" s="1"/>
  <c r="H4" i="1"/>
  <c r="Y3" i="1"/>
  <c r="X3" i="1"/>
  <c r="M7" i="3" s="1"/>
  <c r="H3" i="1"/>
  <c r="Y2" i="1"/>
  <c r="X2" i="1"/>
  <c r="M6" i="3" s="1"/>
  <c r="H2" i="1"/>
  <c r="F15" i="2" l="1"/>
  <c r="C12" i="2"/>
  <c r="C17" i="2"/>
  <c r="D7" i="2"/>
  <c r="C20" i="2"/>
  <c r="N6" i="3"/>
  <c r="D6" i="2"/>
  <c r="C15" i="2"/>
  <c r="D8" i="2"/>
  <c r="C14" i="2"/>
  <c r="C18" i="2"/>
  <c r="C19" i="2"/>
  <c r="C16" i="2"/>
  <c r="N7" i="3"/>
  <c r="C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Data dictionary</author>
  </authors>
  <commentList>
    <comment ref="A1" authorId="0" shapeId="0" xr:uid="{00000000-0006-0000-0000-000001000000}">
      <text>
        <r>
          <rPr>
            <sz val="11"/>
            <color theme="1"/>
            <rFont val="Calibri"/>
            <family val="2"/>
            <scheme val="minor"/>
          </rPr>
          <t>Sequential number after sorting by Relevance, then by submission deadline.</t>
        </r>
      </text>
    </comment>
    <comment ref="B1" authorId="0" shapeId="0" xr:uid="{00000000-0006-0000-0000-000002000000}">
      <text>
        <r>
          <rPr>
            <sz val="11"/>
            <color theme="1"/>
            <rFont val="Calibri"/>
            <family val="2"/>
            <scheme val="minor"/>
          </rPr>
          <t>Conference series acronym, without an edition year.</t>
        </r>
      </text>
    </comment>
    <comment ref="C1" authorId="0" shapeId="0" xr:uid="{00000000-0006-0000-0000-000003000000}">
      <text>
        <r>
          <rPr>
            <sz val="11"/>
            <color theme="1"/>
            <rFont val="Calibri"/>
            <family val="2"/>
            <scheme val="minor"/>
          </rPr>
          <t>Year of the edition now tracked. Every row re-read from the organisers' own site on 04.09.2026.</t>
        </r>
      </text>
    </comment>
    <comment ref="D1" authorId="0" shapeId="0" xr:uid="{00000000-0006-0000-0000-000004000000}">
      <text>
        <r>
          <rPr>
            <sz val="11"/>
            <color theme="1"/>
            <rFont val="Calibri"/>
            <family val="2"/>
            <scheme val="minor"/>
          </rPr>
          <t>Edition number as the organisers state it. An em dash means the series does not number editions.</t>
        </r>
      </text>
    </comment>
    <comment ref="E1" authorId="0" shapeId="0" xr:uid="{00000000-0006-0000-0000-000005000000}">
      <text>
        <r>
          <rPr>
            <sz val="11"/>
            <color theme="1"/>
            <rFont val="Calibri"/>
            <family val="2"/>
            <scheme val="minor"/>
          </rPr>
          <t>Title of the edition now tracked.</t>
        </r>
      </text>
    </comment>
    <comment ref="F1" authorId="0" shapeId="0" xr:uid="{00000000-0006-0000-0000-000006000000}">
      <text>
        <r>
          <rPr>
            <sz val="11"/>
            <color theme="1"/>
            <rFont val="Calibri"/>
            <family val="2"/>
            <scheme val="minor"/>
          </rPr>
          <t>Conference, Workshop, Conference + Workshop or Journal, from the original tracker tags.</t>
        </r>
      </text>
    </comment>
    <comment ref="G1" authorId="0" shapeId="0" xr:uid="{00000000-0006-0000-0000-000007000000}">
      <text>
        <r>
          <rPr>
            <sz val="11"/>
            <color theme="1"/>
            <rFont val="Calibri"/>
            <family val="2"/>
            <scheme val="minor"/>
          </rPr>
          <t>PICK FROM THE DROP-DOWN: High, Mediocre or Finished. High = the call for papers is open; Mediocre = a future edition is confirmed but submission has closed or no deadline is published; Finished = no future edition found. Priority and Submission Status follow automatically.</t>
        </r>
      </text>
    </comment>
    <comment ref="H1" authorId="0" shapeId="0" xr:uid="{00000000-0006-0000-0000-000008000000}">
      <text>
        <r>
          <rPr>
            <sz val="11"/>
            <color theme="1"/>
            <rFont val="Calibri"/>
            <family val="2"/>
            <scheme val="minor"/>
          </rPr>
          <t>Formula: 1 for High, 2 for Mediocre, 3 for Finished. Updates itself when you change Relevance.</t>
        </r>
      </text>
    </comment>
    <comment ref="I1" authorId="0" shapeId="0" xr:uid="{00000000-0006-0000-0000-000009000000}">
      <text>
        <r>
          <rPr>
            <sz val="11"/>
            <color theme="1"/>
            <rFont val="Calibri"/>
            <family val="2"/>
            <scheme val="minor"/>
          </rPr>
          <t>Proceedings publisher, in the original tracker's vocabulary (CEUR.org = CEUR-WS.org).</t>
        </r>
      </text>
    </comment>
    <comment ref="J1" authorId="0" shapeId="0" xr:uid="{00000000-0006-0000-0000-00000A000000}">
      <text>
        <r>
          <rPr>
            <sz val="11"/>
            <color theme="1"/>
            <rFont val="Calibri"/>
            <family val="2"/>
            <scheme val="minor"/>
          </rPr>
          <t>Abstracting and indexing the organisers claim - Scopus, DBLP, Web of Science, volume numbers and ISSNs where stated.</t>
        </r>
      </text>
    </comment>
    <comment ref="K1" authorId="0" shapeId="0" xr:uid="{00000000-0006-0000-0000-00000B000000}">
      <text>
        <r>
          <rPr>
            <sz val="11"/>
            <color theme="1"/>
            <rFont val="Calibri"/>
            <family val="2"/>
            <scheme val="minor"/>
          </rPr>
          <t>Registration fee exactly as published, including every tier. Where a figure could not be re-confirmed the cell says so.</t>
        </r>
      </text>
    </comment>
    <comment ref="L1" authorId="0" shapeId="0" xr:uid="{00000000-0006-0000-0000-00000C000000}">
      <text>
        <r>
          <rPr>
            <sz val="11"/>
            <color theme="1"/>
            <rFont val="Calibri"/>
            <family val="2"/>
            <scheme val="minor"/>
          </rPr>
          <t>Lowest payable fee. 0 shows as Free; blank means no fee is published. Full tiers are in the previous column.</t>
        </r>
      </text>
    </comment>
    <comment ref="M1" authorId="0" shapeId="0" xr:uid="{00000000-0006-0000-0000-00000D000000}">
      <text>
        <r>
          <rPr>
            <sz val="11"/>
            <color theme="1"/>
            <rFont val="Calibri"/>
            <family val="2"/>
            <scheme val="minor"/>
          </rPr>
          <t>Currency of the Fee column.</t>
        </r>
      </text>
    </comment>
    <comment ref="N1" authorId="0" shapeId="0" xr:uid="{00000000-0006-0000-0000-00000E000000}">
      <text>
        <r>
          <rPr>
            <sz val="11"/>
            <color theme="1"/>
            <rFont val="Calibri"/>
            <family val="2"/>
            <scheme val="minor"/>
          </rPr>
          <t>Deadline for an abstract or extended abstract where the venue runs one as a distinct milestone.</t>
        </r>
      </text>
    </comment>
    <comment ref="O1" authorId="0" shapeId="0" xr:uid="{00000000-0006-0000-0000-00000F000000}">
      <text>
        <r>
          <rPr>
            <sz val="11"/>
            <color theme="1"/>
            <rFont val="Calibri"/>
            <family val="2"/>
            <scheme val="minor"/>
          </rPr>
          <t>Latest published deadline for the initial submission, extensions included. Blank where the organisers publish none.</t>
        </r>
      </text>
    </comment>
    <comment ref="P1" authorId="0" shapeId="0" xr:uid="{00000000-0006-0000-0000-000010000000}">
      <text>
        <r>
          <rPr>
            <sz val="11"/>
            <color theme="1"/>
            <rFont val="Calibri"/>
            <family val="2"/>
            <scheme val="minor"/>
          </rPr>
          <t>Author notification / acceptance date.</t>
        </r>
      </text>
    </comment>
    <comment ref="Q1" authorId="0" shapeId="0" xr:uid="{00000000-0006-0000-0000-000011000000}">
      <text>
        <r>
          <rPr>
            <sz val="11"/>
            <color theme="1"/>
            <rFont val="Calibri"/>
            <family val="2"/>
            <scheme val="minor"/>
          </rPr>
          <t>Camera-ready, final-manuscript or revised-paper deadline.</t>
        </r>
      </text>
    </comment>
    <comment ref="R1" authorId="0" shapeId="0" xr:uid="{00000000-0006-0000-0000-000012000000}">
      <text>
        <r>
          <rPr>
            <sz val="11"/>
            <color theme="1"/>
            <rFont val="Calibri"/>
            <family val="2"/>
            <scheme val="minor"/>
          </rPr>
          <t>Deadline to register and, where applicable, pay the fee.</t>
        </r>
      </text>
    </comment>
    <comment ref="S1" authorId="0" shapeId="0" xr:uid="{00000000-0006-0000-0000-000013000000}">
      <text>
        <r>
          <rPr>
            <sz val="11"/>
            <color theme="1"/>
            <rFont val="Calibri"/>
            <family val="2"/>
            <scheme val="minor"/>
          </rPr>
          <t>Conference dates as published, with any qualifier such as an opening or workshop day.</t>
        </r>
      </text>
    </comment>
    <comment ref="T1" authorId="0" shapeId="0" xr:uid="{00000000-0006-0000-0000-000014000000}">
      <text>
        <r>
          <rPr>
            <sz val="11"/>
            <color theme="1"/>
            <rFont val="Calibri"/>
            <family val="2"/>
            <scheme val="minor"/>
          </rPr>
          <t>First day of the event, as a date, for the Submission Status formula.</t>
        </r>
      </text>
    </comment>
    <comment ref="U1" authorId="0" shapeId="0" xr:uid="{00000000-0006-0000-0000-000015000000}">
      <text>
        <r>
          <rPr>
            <sz val="11"/>
            <color theme="1"/>
            <rFont val="Calibri"/>
            <family val="2"/>
            <scheme val="minor"/>
          </rPr>
          <t>Last day of the event, so a live event can be told from one still ahead.</t>
        </r>
      </text>
    </comment>
    <comment ref="V1" authorId="0" shapeId="0" xr:uid="{00000000-0006-0000-0000-000016000000}">
      <text>
        <r>
          <rPr>
            <sz val="11"/>
            <color theme="1"/>
            <rFont val="Calibri"/>
            <family val="2"/>
            <scheme val="minor"/>
          </rPr>
          <t>Host institution, city and country as published.</t>
        </r>
      </text>
    </comment>
    <comment ref="W1" authorId="0" shapeId="0" xr:uid="{00000000-0006-0000-0000-000017000000}">
      <text>
        <r>
          <rPr>
            <sz val="11"/>
            <color theme="1"/>
            <rFont val="Calibri"/>
            <family val="2"/>
            <scheme val="minor"/>
          </rPr>
          <t>In-person, online or hybrid, as the organisers describe it.</t>
        </r>
      </text>
    </comment>
    <comment ref="X1" authorId="0" shapeId="0" xr:uid="{00000000-0006-0000-0000-000018000000}">
      <text>
        <r>
          <rPr>
            <sz val="11"/>
            <color theme="1"/>
            <rFont val="Calibri"/>
            <family val="2"/>
            <scheme val="minor"/>
          </rPr>
          <t>Formula: submission deadline minus TODAY(). Negative means it has passed.</t>
        </r>
      </text>
    </comment>
    <comment ref="Y1" authorId="0" shapeId="0" xr:uid="{00000000-0006-0000-0000-000019000000}">
      <text>
        <r>
          <rPr>
            <sz val="11"/>
            <color theme="1"/>
            <rFont val="Calibri"/>
            <family val="2"/>
            <scheme val="minor"/>
          </rPr>
          <t>Formula. Open / Open - closing soon / Event in progress / Deadline not published / Camera-ready due / Registration due / Submissions closed - event ahead / Expired.</t>
        </r>
      </text>
    </comment>
    <comment ref="Z1" authorId="0" shapeId="0" xr:uid="{00000000-0006-0000-0000-00001A000000}">
      <text>
        <r>
          <rPr>
            <sz val="11"/>
            <color theme="1"/>
            <rFont val="Calibri"/>
            <family val="2"/>
            <scheme val="minor"/>
          </rPr>
          <t>Where papers go: EasyChair, Microsoft CMT, HotCRP, Softconf, e-mail, or the site's own form.</t>
        </r>
      </text>
    </comment>
    <comment ref="AA1" authorId="0" shapeId="0" xr:uid="{00000000-0006-0000-0000-00001B000000}">
      <text>
        <r>
          <rPr>
            <sz val="11"/>
            <color theme="1"/>
            <rFont val="Calibri"/>
            <family val="2"/>
            <scheme val="minor"/>
          </rPr>
          <t>Page limits and template requirements as published.</t>
        </r>
      </text>
    </comment>
    <comment ref="AB1" authorId="0" shapeId="0" xr:uid="{00000000-0006-0000-0000-00001C000000}">
      <text>
        <r>
          <rPr>
            <sz val="11"/>
            <color theme="1"/>
            <rFont val="Calibri"/>
            <family val="2"/>
            <scheme val="minor"/>
          </rPr>
          <t>The exact page these values were read from on 04.09.2026.</t>
        </r>
      </text>
    </comment>
    <comment ref="AC1" authorId="0" shapeId="0" xr:uid="{00000000-0006-0000-0000-00001D000000}">
      <text>
        <r>
          <rPr>
            <sz val="11"/>
            <color theme="1"/>
            <rFont val="Calibri"/>
            <family val="2"/>
            <scheme val="minor"/>
          </rPr>
          <t>Link types recorded in the original tracker export.</t>
        </r>
      </text>
    </comment>
    <comment ref="AD1" authorId="0" shapeId="0" xr:uid="{00000000-0006-0000-0000-00001E000000}">
      <text>
        <r>
          <rPr>
            <sz val="11"/>
            <color theme="1"/>
            <rFont val="Calibri"/>
            <family val="2"/>
            <scheme val="minor"/>
          </rPr>
          <t>Organisers' e-mail or phone where published.</t>
        </r>
      </text>
    </comment>
    <comment ref="AE1" authorId="0" shapeId="0" xr:uid="{00000000-0006-0000-0000-00001F000000}">
      <text>
        <r>
          <rPr>
            <sz val="11"/>
            <color theme="1"/>
            <rFont val="Calibri"/>
            <family val="2"/>
            <scheme val="minor"/>
          </rPr>
          <t>Date this row was read from the organisers' own site.</t>
        </r>
      </text>
    </comment>
    <comment ref="AF1" authorId="0" shapeId="0" xr:uid="{00000000-0006-0000-0000-000020000000}">
      <text>
        <r>
          <rPr>
            <sz val="11"/>
            <color theme="1"/>
            <rFont val="Calibri"/>
            <family val="2"/>
            <scheme val="minor"/>
          </rPr>
          <t>What was found on the page: corrections, additions, site errors, and any reason a value could not be confirmed.</t>
        </r>
      </text>
    </comment>
    <comment ref="AG1" authorId="0" shapeId="0" xr:uid="{00000000-0006-0000-0000-000021000000}">
      <text>
        <r>
          <rPr>
            <sz val="11"/>
            <color theme="1"/>
            <rFont val="Calibri"/>
            <family val="2"/>
            <scheme val="minor"/>
          </rPr>
          <t>When the entry first entered the tracker (from the original CSV export).</t>
        </r>
      </text>
    </comment>
  </commentList>
</comments>
</file>

<file path=xl/sharedStrings.xml><?xml version="1.0" encoding="utf-8"?>
<sst xmlns="http://schemas.openxmlformats.org/spreadsheetml/2006/main" count="6340" uniqueCount="1713">
  <si>
    <t>#</t>
  </si>
  <si>
    <t>Acronym</t>
  </si>
  <si>
    <t>Year</t>
  </si>
  <si>
    <t>Edition</t>
  </si>
  <si>
    <t>Full Title</t>
  </si>
  <si>
    <t>Category</t>
  </si>
  <si>
    <t>Relevance</t>
  </si>
  <si>
    <t>Priority</t>
  </si>
  <si>
    <t>Publisher</t>
  </si>
  <si>
    <t>Indexing</t>
  </si>
  <si>
    <t>Cost (as verified)</t>
  </si>
  <si>
    <t>Fee</t>
  </si>
  <si>
    <t>Currency</t>
  </si>
  <si>
    <t>Abstract Deadline</t>
  </si>
  <si>
    <t>Submission Deadline</t>
  </si>
  <si>
    <t>Notification</t>
  </si>
  <si>
    <t>Camera-Ready</t>
  </si>
  <si>
    <t>Registration Deadline</t>
  </si>
  <si>
    <t>Event Dates</t>
  </si>
  <si>
    <t>Event Start</t>
  </si>
  <si>
    <t>Event End</t>
  </si>
  <si>
    <t>Location / Venue</t>
  </si>
  <si>
    <t>Format</t>
  </si>
  <si>
    <t>Days to Deadline</t>
  </si>
  <si>
    <t>Submission Status</t>
  </si>
  <si>
    <t>Submission System</t>
  </si>
  <si>
    <t>Paper Length</t>
  </si>
  <si>
    <t>Website</t>
  </si>
  <si>
    <t>Available Resources</t>
  </si>
  <si>
    <t>Contact</t>
  </si>
  <si>
    <t>Last Verified</t>
  </si>
  <si>
    <t>Verification Notes</t>
  </si>
  <si>
    <t>Added to List</t>
  </si>
  <si>
    <t>CSAM</t>
  </si>
  <si>
    <t>XI</t>
  </si>
  <si>
    <t>XI International Scientific Conference “Computer Science and Applied Mathematics”</t>
  </si>
  <si>
    <t>Conference</t>
  </si>
  <si>
    <t>High</t>
  </si>
  <si>
    <t>Academic Journal</t>
  </si>
  <si>
    <t>Conference collection; best presentations forwarded to Bulletin of KazNU (Mathematics, Mechanics, Computer Science), Problems of Computer Science (Siberian Branch RAS) and other Scopus / Web of Science journals</t>
  </si>
  <si>
    <t>Not published on the site</t>
  </si>
  <si>
    <t>07–11 Oct 2026</t>
  </si>
  <si>
    <t>Al-Farabi Kazakh National University &amp; Institute of Information and Computational Technologies, Al-Farabi Ave 71, Almaty, Kazakhstan</t>
  </si>
  <si>
    <t>In-person</t>
  </si>
  <si>
    <t>Google Form (forms.gle/rysdTmshMxarg2je7); separate registration form forms.gle/ZHTzheKQF4qgrDVu8</t>
  </si>
  <si>
    <t>https://csam.kaznu.kz/en</t>
  </si>
  <si>
    <t>Website; Submission; Registration</t>
  </si>
  <si>
    <t>opcs2026sc@gmail.com; +7 708-354-21-65, +7 702-322-29-99, +7 707-933-88-90, +7 708-961-48-78, +7 707-375-22-96 (organising committee Mon-Fri 09:00-18:00, Almaty time UTC+6)</t>
  </si>
  <si>
    <t>RE-READ 04.09.2026, ALL THREE DEADLINES CONFIRMED on the Important Dates block: submission 15.09.2026 (11 days out), notification 30.09.2026, camera-ready 10.10.2026; event 07-11.10.2026. ADDED the organising-committee e-mail opcs2026sc@gmail.com and the four further phone numbers, and separated the two Google Forms: papers go to forms.gle/rysdTmshMxarg2je7, participant registration to forms.gle/ZHTzheKQF4qgrDVu8. The "Microsoft CMT" line in the page footer is CMT's standard acknowledgement boilerplate, NOT the submission route. The footer phone "+7 707 123 4567" is placeholder text; the Contacts page carries the real numbers. Still no fee published and no online-participation option. XI International Scientific Conference "Computer Science and Applied Mathematics", also styled the 11th International Conference "Informatics and Applied Mathematics"; organised by the Institute of Information and Computational Technologies, Al-Farabi KazNU, Lublin University of Technology and Turan University. Four tracks. NOT a CEUR venue - CEUR Vol-3922 is a different conference (IAM, Guelma, Algeria).</t>
  </si>
  <si>
    <t>AISTDS</t>
  </si>
  <si>
    <t>10th (inferred)</t>
  </si>
  <si>
    <t>Applied Information Systems and Technologies in the Digital Society</t>
  </si>
  <si>
    <t>Workshop</t>
  </si>
  <si>
    <t>CEUR.org</t>
  </si>
  <si>
    <t>DBLP, Scopus, Google Scholar</t>
  </si>
  <si>
    <t>500 UAH registration fee (covers participation, publication, programme and the electronic proceedings)</t>
  </si>
  <si>
    <t>UAH</t>
  </si>
  <si>
    <t>01 Oct 2026, 10:00</t>
  </si>
  <si>
    <t>Department of Applied Information Systems, Faculty of Information Technology, Taras Shevchenko National University of Kyiv, 24 Bohdan Hawrylyshyn Str, 4th floor, room 401, Kyiv, Ukraine</t>
  </si>
  <si>
    <t>Online (Zoom)</t>
  </si>
  <si>
    <t>E-mail to the organising committee</t>
  </si>
  <si>
    <t>At least 10 pages, English, PDF, Microsoft Word CEUR template; max 4 authors (5 by exception)</t>
  </si>
  <si>
    <t>https://aistis.knu.ua/how-to-submit/</t>
  </si>
  <si>
    <t>aistis.conference@gmail.com; +38 (044) 481 44 82</t>
  </si>
  <si>
    <t>OPEN - 23 days to the deadline. Submission AND payment both 27.09.2026, confirmed on /how-to-submit/ and /terms-and-fees/; 500 UAH covers participation, publication, the programme and the electronic collection. FORMAT CORRECTED from "Not stated": the home page says the conference is "held online with the use of Zoom platform". VENUE made specific (Dept of Applied Information Systems, 24 Bohdan Hawrylyshyn Str, room 401) and the committee phone added. EDITION FILLED as 10th by inference, not by statement: CEUR shows AISTDS 2024 = 8th (Vol-3942, 01.10.2024) and AISTDS 2025 = 9th (Vol-4133, 01.10.2025), so 2026 is the tenth - confirm with the organisers. Notification and camera-ready are still given only as "October 2026", with no day. Papers reviewed by at least two independent reviewers. Payment is styled a charitable contribution to Yevhenii Topolskov.</t>
  </si>
  <si>
    <t>ATRIC</t>
  </si>
  <si>
    <t>—</t>
  </si>
  <si>
    <t>International Conference on Advanced Trends in Radioelectronics and Infocommunications</t>
  </si>
  <si>
    <t>Conference website (electronic proceedings)</t>
  </si>
  <si>
    <t>Not indexed - proceedings recommended by the Organising Committee are published electronically on the conference website after the event, following independent review</t>
  </si>
  <si>
    <t>Free — "The conference is free of organizational fees" (accommodation and meals at participants' own cost)</t>
  </si>
  <si>
    <t>15–17 Oct 2026</t>
  </si>
  <si>
    <t>Lviv Polytechnic National University, S. Bandera Str., building 12, Lviv 79013, Ukraine (organising committee: Department of Software and Hardware Systems of Infocommunications, Professorska Str. 2, Lviv 79013)</t>
  </si>
  <si>
    <t>Hybrid (on-site and videoconference)</t>
  </si>
  <si>
    <t>Google Forms registration + e-mail</t>
  </si>
  <si>
    <t>Abstracts 2-4 full A5 pages, Times New Roman 11pt, line spacing 1.2, margins 1.5 cm all round, Ukrainian or English, MS Word</t>
  </si>
  <si>
    <t>https://science.lpnu.ua/atric-2026</t>
  </si>
  <si>
    <t>atric.conference@lpnu.ua; +38(032)2582156, +380985864516 (conference secretary Ivan Maksymiv)</t>
  </si>
  <si>
    <t>OPEN - 26 days out. The dates block reads exactly: 30.09.2026 18:00 submission of applications and the full text of report materials; 10.10.2026 18:00 Organising Committee confirmation of acceptance and inclusion in the programme; 15.10.2026 10:00 opening and plenary session. Event 15-17.10.2026. FREE of organisational fees confirmed on the Organizational Fee page (accommodation and meals at participants' own cost; hotel requests to the committee by 12.10.2026). ADDED the contact block and the full venue. PUBLISHER CORRECTED from "Not specified": there is no external publisher - proceedings appear on the conference site after the event. Working languages Ukrainian and English. Marks the 100th anniversary of the Lviv amateur radio movement, supported by the NGO "Lviv HF Amateur Radio Club".</t>
  </si>
  <si>
    <t>CITI</t>
  </si>
  <si>
    <t>4th</t>
  </si>
  <si>
    <t>The 4th International Conference on “Computer Information Technologies in Industry 4.0”</t>
  </si>
  <si>
    <t>Scopus (planned)</t>
  </si>
  <si>
    <t>Free — "Participation and publication are free of charge!"</t>
  </si>
  <si>
    <t>04–06 Nov 2026</t>
  </si>
  <si>
    <t>Ternopil Ivan Puluj National Technical University, Ternopil, Ukraine (hybrid, jointly with Warsaw, Poland)</t>
  </si>
  <si>
    <t>Hybrid</t>
  </si>
  <si>
    <t>Microsoft CMT (cmt3.research.microsoft.com/CITI2026)</t>
  </si>
  <si>
    <t>Regular papers 10-20 full pages, short papers 5-9 full pages; English, proofread; CEUR-ART one-column LibreOffice ODT template with the Libertinus font family (cloud editors and Word/Microsoft365 discouraged); max 5 co-authors; max 2 papers per author; title up to 13 words; references mostly not older than 5-8 years</t>
  </si>
  <si>
    <t>https://citi.tntu.edu.ua/</t>
  </si>
  <si>
    <t>Website; Submission; CMT</t>
  </si>
  <si>
    <t>citiconf@tntu.edu.ua</t>
  </si>
  <si>
    <t>OPEN - 26 days out. Deadlines confirmed verbatim: papers before 30.09.2026, notification on 21.10.2026, camera-ready before 30.10.2026; event 04-06.11.2026. "Participation and publication are free of charge!" confirmed. SUBMISSION SYSTEM CORRECTED: the previous pass recorded EasyChair, but /submission/ names Microsoft CMT at cmt3.research.microsoft.com/CITI2026. PAPER LENGTH AND FORMATTING FILLED IN (were blank) and the contact e-mail added. Venue is hybrid TNTU Ternopil with Warsaw, Poland. Proceedings to CEUR-WS, "planned to be indexed in Scopus".</t>
  </si>
  <si>
    <t>BAITmp</t>
  </si>
  <si>
    <t>3rd</t>
  </si>
  <si>
    <t>The 3rd International Workshop on Bioinformatics and Applied Information Technologies for Medical Purpose</t>
  </si>
  <si>
    <t>Scopus &amp; Web of Science (planned)</t>
  </si>
  <si>
    <t>Free — "Participate for FREE ₴0"</t>
  </si>
  <si>
    <t>11–13 Nov 2026</t>
  </si>
  <si>
    <t>Mohammed VI Polytechnic University, Benguerir, Morocco &amp; Ternopil Ivan Puluj NTU, Ukraine</t>
  </si>
  <si>
    <t>Online presentations</t>
  </si>
  <si>
    <t>EasyChair (easychair.org/conferences?conf=bait2025 - the link still carries the 2025 slug)</t>
  </si>
  <si>
    <t>Regular papers 10-20 full pages, short papers 5-9 full pages; English; CEUR-ART one-column LibreOffice ODT template with the Libertinus font family; PDF plus ODT/LaTeX source; max 5 co-authors; max 2 papers per author; each paper needs at least one author with at least 5 papers in DBLP; signed Author Agreement required</t>
  </si>
  <si>
    <t>https://bait.tntu.edu.ua/</t>
  </si>
  <si>
    <t>Website; Submission; EasyChair</t>
  </si>
  <si>
    <t>baitconf@tntu.edu.ua</t>
  </si>
  <si>
    <t>OPEN - 27 days out. Deadlines confirmed: paper 01.10.2026, notification 01.11.2026, camera-ready 08.11.2026. Free ("Participate for FREE"). ADDED paper length, formatting, the DBLP condition and the contact e-mail. SUBMISSION SYSTEM identified as EasyChair, but the live link still points at conf=bait2025 - verify with the organisers before submitting. THE SITE CONTRADICTS ITSELF ON THE EVENT DATES, three ways on one page: the banner says "November 16-18, 2026", the dates-box header says "November 12-13, 2026", and "November 11-13, 2026" appears twice in the body. 11-13.11.2026 is the reading kept here because it is the one repeated in the call itself, but confirm with the organisers. Held jointly with Mohammed VI Polytechnic University, Benguerir, Morocco; online presentations; proceedings to CEUR-WS, planned for Scopus and Web of Science. 3rd edition (the site writes "3nd").</t>
  </si>
  <si>
    <t>ICTM</t>
  </si>
  <si>
    <t>Integrated Computer Technologies in Mechanical Engineering – Synergetic Engineering</t>
  </si>
  <si>
    <t>Conference + Workshop</t>
  </si>
  <si>
    <t>Springer.org</t>
  </si>
  <si>
    <t>Springer Science+Business Media book chapter; partnership option with the journal "Computation"; peer review by at least three scholars; free submission for students and PhD candidates</t>
  </si>
  <si>
    <t>Not published</t>
  </si>
  <si>
    <t>18–20 Nov 2026</t>
  </si>
  <si>
    <t>National Aerospace University "KhAI", Vadyma Manka st. 17, Kharkiv 61070, Ukraine</t>
  </si>
  <si>
    <t>Not stated</t>
  </si>
  <si>
    <t>E-mail to the organising committee (no online system; the submission page still shows the 2020 conference dates)</t>
  </si>
  <si>
    <t>At least 10 and not more than 12 pages for the Springer book; Springer splnproc template (splnproc1703.zip)</t>
  </si>
  <si>
    <t>https://ictm.khai.edu/</t>
  </si>
  <si>
    <t>Website; EasyChair</t>
  </si>
  <si>
    <t>ictm2024@khai.edu; +380577884105 (chair Prof. Volodymyr Pavlikov; publication chair Assoc. Prof. Dmytro Kritskiy; secretary Assoc. Prof. Tetiana Starovoit)</t>
  </si>
  <si>
    <t>OPEN - 27 days out. Submission 01.10.2026 and notification 01.11.2026 confirmed; event 18-20.11.2026 at Kharkiv, Vadyma Manka st. 17 (the Contacts page still uses the street's former name, Chkalova 17 - same address). ADDED paper length (10-12 pages, Springer template), the publisher detail and the contact block; the site's e-mail is Cloudflare-obfuscated and decodes to ictm2024@khai.edu, an address still carrying the 2024 year. No camera-ready date, no fee and no indexing statement are published for 2026, and the submission page is stale (it still prints "29-30 October 2020"), so treat the submission route as e-mail and confirm with the committee.</t>
  </si>
  <si>
    <t>DOORS</t>
  </si>
  <si>
    <t>7th</t>
  </si>
  <si>
    <t>7th Edge Computing Workshop</t>
  </si>
  <si>
    <t>ACM Digital Library</t>
  </si>
  <si>
    <t>ACM ICPS; post-proceedings in the Journal of Edge Computing</t>
  </si>
  <si>
    <t>02 Apr 2027</t>
  </si>
  <si>
    <t>Zhytomyr Polytechnic State University, Department of Software Engineering, Zhytomyr, Ukraine</t>
  </si>
  <si>
    <t>HotCRP</t>
  </si>
  <si>
    <t>Full papers, at least 10 pages, LaTeX-generated PDF</t>
  </si>
  <si>
    <t>https://edge.easyscience.education/2027/</t>
  </si>
  <si>
    <t>Website; Submission</t>
  </si>
  <si>
    <t>tetianavakaliuk@acnsci.org; +380-96-065-3099 (Tetiana Vakaliuk)</t>
  </si>
  <si>
    <t>All four dates confirmed: submission 11.12.2026, notification 02.01.2027, camera-ready 12.01.2027, registration 21.03.2027; event 02.04.2027. ADDED the venue detail (Zhytomyr Polytechnic State University, Department of Software Engineering) and the chair's contact. Full papers at least 10 pages, LaTeX-generated PDF, submitted through HotCRP. Proceedings published online; selected papers eligible for the Journal of Edge Computing after a secondary review. No fee published.</t>
  </si>
  <si>
    <t>SCIA</t>
  </si>
  <si>
    <t>Scandinavian Conference on Image Analysis</t>
  </si>
  <si>
    <t>Springer LNCS</t>
  </si>
  <si>
    <t>Not published (early-bird registration deadline TBA)</t>
  </si>
  <si>
    <t>09–11 Jun 2027 (tutorials &amp; workshops 08 Jun)</t>
  </si>
  <si>
    <t>Norwegian University of Science and Technology, Gjøvik, Norway</t>
  </si>
  <si>
    <t>https://scia2027.org/</t>
  </si>
  <si>
    <t>scia2027@idi.ntnu.no</t>
  </si>
  <si>
    <t>Dates confirmed and they really are in this order: paper submission opens 01.12.2026 and closes 26.01.2027; the separate ABSTRACT window opens 12.02.2027 and closes 28.02.2027 - the abstract deadline falls AFTER the paper deadline because they are different tracks, so this is not a transcription error. Notification 16.03.2027, camera-ready 11.04.2027. Event 09-11.06.2027 with tutorials and workshops on 08.06.2027, at NTNU Gjovik. ADDED the contact address. Springer LNCS branding is on the site but no page limits, fees or submission-system URL are published yet (early-bird registration still TBA).</t>
  </si>
  <si>
    <t>IDAACS</t>
  </si>
  <si>
    <t>14th</t>
  </si>
  <si>
    <t>The 14th IEEE International Conference on Intelligent Data Acquisition and Advanced Computing Systems: Technology and Applications</t>
  </si>
  <si>
    <t>IEEE.org</t>
  </si>
  <si>
    <t>IEEE Xplore; Scopus, DBLP, WoS CPCI expected</t>
  </si>
  <si>
    <t>Not published for 2027</t>
  </si>
  <si>
    <t>22–25 Sep 2027</t>
  </si>
  <si>
    <t>Hellenic Army Academy, Athens, Greece</t>
  </si>
  <si>
    <t>Microsoft CMT (cmt3.research.microsoft.com/IDAACS2027)</t>
  </si>
  <si>
    <t>https://www.idaacs.net/2027</t>
  </si>
  <si>
    <t>Website; CAP</t>
  </si>
  <si>
    <t>orgcom@idaacs.net</t>
  </si>
  <si>
    <t>Dates confirmed: extended-abstract submission 28.02.2027 (this is the only submission deadline the site publishes, which is why the abstract and submission columns carry the same date), notification 31.03.2027, camera-ready 30.04.2027. REGISTRATION refined: early registration runs 02.04-31.05.2027, and late registration OPENS 01.06.2027 - 31.05.2027 is therefore the early-bird cut-off, not an absolute close. Event 22-25.09.2027, Hellenic Army Academy, Athens. Submission through Microsoft CMT. Accepted papers go to the conference proceedings and are submitted to IEEE Xplore; Scopus, DBLP and WoS CPCI expected. No 2027 fee published; no author page limit published yet.</t>
  </si>
  <si>
    <t>ACIT</t>
  </si>
  <si>
    <t>17th</t>
  </si>
  <si>
    <t>IEEE 17th International Conference on Advanced Computer Information Technologies</t>
  </si>
  <si>
    <t>IEEE Xplore; registered Scopus periodical "Proceedings - International Conference on Advanced Computer Information Technologies (ACIT)"; Google Scholar, Web of Science, DBLP, SCImago; Online ISSN 2770-5226, Print ISSN 2770-5218; 2026 acceptance rate 46.92%</t>
  </si>
  <si>
    <t>Not published for 2027 - the shared Payments page still shows the ACIT'2026 schedule (on-site 350 EUR non-IEEE / 300 EUR IEEE member or PhD student / 250 EUR IEEE PhD student; online 120 / 90 / 70 EUR; accompanying person 200 EUR; free for single-author student papers; +20 EUR per page above 4; one registration covers up to two accepted papers) with payment due 30.06.2026</t>
  </si>
  <si>
    <t>EUR</t>
  </si>
  <si>
    <t>13–15 Sep 2027</t>
  </si>
  <si>
    <t>Constantine the Philosopher University, Tr. A. Hlinku 1, 949 01 Nitra, Slovakia</t>
  </si>
  <si>
    <t>Microsoft CMT (cmt3.research.microsoft.com/ACIT2027)</t>
  </si>
  <si>
    <t>Final paper 4–10 pages, IEEE Proceedings format, DOC or LaTeX, max 6 co-authors</t>
  </si>
  <si>
    <t>https://acit.tech/index.php/acit2027</t>
  </si>
  <si>
    <t>Website; Call for Papers (PDF); CMT</t>
  </si>
  <si>
    <t>workshopACIT@gmail.com; +380977761442 (Faculty of Computer Information Technologies, West Ukrainian National University, 8 Oleny Teligy str., Ternopil, Ukraine)</t>
  </si>
  <si>
    <t>Dates confirmed on the ACIT'2027 page: paper 04.04.2027, notification 23.05.2027, camera-ready 13.06.2027, online registration AND fee payment 30.06.2027. COST CORRECTED - this was the main error here. The euro figures the tracker carried are the ACIT'2026 schedule: /payments and /venue are shared pages that still describe ACIT'2026 in Zlin, Czech Republic, with payment by 30.06.2026. No 2027 fee has been published, so the numeric Fee cell has been cleared (it read 0, which wrongly implied a free conference). ACIT'2027 itself is in Nitra, Slovakia, hosted by Constantine the Philosopher University, in hybrid format; ignore the Zlin address that the shared pages still show. Papers 4-10 pages, IEEE Proceedings format, max 6 co-authors, through Microsoft CMT. Indexing expanded with both ISSNs and the 2026 acceptance rate.</t>
  </si>
  <si>
    <t>FedCSIS</t>
  </si>
  <si>
    <t>22nd</t>
  </si>
  <si>
    <t>22nd Conference on Computer Science and Intelligence Systems</t>
  </si>
  <si>
    <t>Annals of Computer Science and Information Systems; IEEE catalogue TBA</t>
  </si>
  <si>
    <t>TBA — the conference fees page reads "TBA"</t>
  </si>
  <si>
    <t>12–15 Sep 2027</t>
  </si>
  <si>
    <t>Gdynia, Poland</t>
  </si>
  <si>
    <t>https://2027.fedcsis.org/</t>
  </si>
  <si>
    <t>Dates confirmed: paper 14.05.2027, notification 28.06.2027, final paper 15.07.2027, early-registration discount ends 31.07.2027. FURTHER MILESTONES the tracker did not hold: position-paper submission 11.06.2027; thematic-session proposals 01.12.2026; summer-school proposals 01.03.2027; industrial-track proposals 25.06.2027. Event 12-15.09.2027, Gdynia, Poland. Fees still read TBA on the conference-fees page, and no submission-system URL, page limit or contact e-mail is published yet - only a generic /contact form. Proceedings in the Annals of Computer Science and Information Systems; IEEE catalogue number TBA.</t>
  </si>
  <si>
    <t>MoMLeT&amp;DS</t>
  </si>
  <si>
    <t>Modern Machine Learning Technologies and Data Science</t>
  </si>
  <si>
    <t>CEUR-WS.org; Scopus, DBLP, Google Scholar</t>
  </si>
  <si>
    <t>07 Jun 2027</t>
  </si>
  <si>
    <t>Not stated - online event; run inside the "Mathematics. Information Technologies. Education" framework. Co-organised by the Leiden Institute of Advanced Computer Science (Netherlands), University of Jyvaskyla (Finland), Lviv Polytechnic National University, University Institute of Lisbon (Portugal), De Montfort University (UK), Politechnika Slaska (Poland) and Ivano-Frankivsk NTU of Oil and Gas</t>
  </si>
  <si>
    <t>Regular papers at least 10 pages</t>
  </si>
  <si>
    <t>https://momlet.in.ua/important-dates/</t>
  </si>
  <si>
    <t>momlet.in.ua@gmail.com; dmytro.h.dosyn@lpnu.ua</t>
  </si>
  <si>
    <t>Dates confirmed on /important-dates/: paper 14.05.2027, acceptance 25.05.2027, camera-ready 30.05.2027, workshop 07.06.2027. FILLED IN from /about-momlet/, which the previous pass did not read: FORMAT is "expected on-line participation using Zoom platform" (was "Not stated"); INDEXING is CEUR-WS.org with Scopus, DBLP and Google Scholar (was "Not stated"); PAPER LENGTH at least 10 pages; and two contact addresses. The Travel and Venue page is still empty, consistent with an online event. No fee published.</t>
  </si>
  <si>
    <t>AI4Cyber</t>
  </si>
  <si>
    <t>Workshop on Artificial Intelligence for Cybersecurity (AIC)</t>
  </si>
  <si>
    <t>CEUR-WS planned</t>
  </si>
  <si>
    <t>24–25 Sep 2026</t>
  </si>
  <si>
    <t>University of the National Education Commission, Krakow, Poland (inside SMICS-2026)</t>
  </si>
  <si>
    <t>On-site</t>
  </si>
  <si>
    <t>Microsoft CMT (cmt3.research.microsoft.com/SMICS2026), subject area "AI for Cybersecurity"</t>
  </si>
  <si>
    <t>More than 9 A4 pages; CEUR-WS ODT (LibreOffice) or LaTeX template, Libertinus font required, Word/Microsoft365 strongly discouraged; the FIRST author must have at least 5 papers indexed in DBLP; three files with fixed names - PDF, source, and a hand-signed scanned Author Agreement (NTP or TP variant)</t>
  </si>
  <si>
    <t>https://smics.lnu.edu.ua/</t>
  </si>
  <si>
    <t>ai_smics@lnu.edu.ua (workshop); smics@lnu.edu.ua (conference)</t>
  </si>
  <si>
    <t>OPEN - 3 days to the 07.09.2026 deadline. Dates FILLED IN from /en/dates, which the previous pass missed: 07.09.2026 is the "Deadline for Submission of Registration Forms - registration form submission closes for abstracts and workshop papers", so it is the SUBMISSION deadline as well as the registration deadline; notification of paper acceptance 10.09.2026; formal invitations and schedule guidelines 15.09.2026; conference days 24-25.09.2026. FORMAT CORRECTED from "Not stated" to on-site presentations at the University of the National Education Commission in Krakow. Nine-plus co-organisers across Ukraine, Poland, Sweden and the USA; 3 main tracks, 3 working languages; registration form forms.gle/wxu2zhuXg4vcPUCk8. No fee published. The workshop's official name on the site is "Artificial Intelligence for Cybersecurity (AIC)". ADDED its own paper specification and its own contact address, ai_smics@lnu.edu.ua. No prior CEUR volume was found, so this looks like a first edition - treat the scope as provisional.</t>
  </si>
  <si>
    <t>SMICS</t>
  </si>
  <si>
    <t>International Conference “Security of Modern Information and Communication Systems”</t>
  </si>
  <si>
    <t>Two CEUR-WS workshop volumes planned</t>
  </si>
  <si>
    <t>University of the National Education Commission, Krakow, Poland</t>
  </si>
  <si>
    <t>E-mail for conference abstracts; Microsoft CMT (cmt3.research.microsoft.com/SMICS2026) for the two CEUR-WS workshops</t>
  </si>
  <si>
    <t>Conference abstracts exactly 3-5 full A4 pages, LibreOffice ODT template with the Libertinus font, proper English, not edited by the organisers; max 2 abstracts per author and max 5 authors per paper; self-citation must not exceed 30% of references; mandatory sections - problem statement, novelty against known work, proposed solution, conclusions</t>
  </si>
  <si>
    <t>Website; Registration; CMT</t>
  </si>
  <si>
    <t>smics@lnu.edu.ua; ai_smics@lnu.edu.ua (AI workshop); crypt_smics@lnu.edu.ua (cryptology workshop)</t>
  </si>
  <si>
    <t>OPEN - 3 days to the 07.09.2026 deadline. Dates FILLED IN from /en/dates, which the previous pass missed: 07.09.2026 is the "Deadline for Submission of Registration Forms - registration form submission closes for abstracts and workshop papers", so it is the SUBMISSION deadline as well as the registration deadline; notification of paper acceptance 10.09.2026; formal invitations and schedule guidelines 15.09.2026; conference days 24-25.09.2026. FORMAT CORRECTED from "Not stated" to on-site presentations at the University of the National Education Commission in Krakow. Nine-plus co-organisers across Ukraine, Poland, Sweden and the USA; 3 main tracks, 3 working languages; registration form forms.gle/wxu2zhuXg4vcPUCk8. No fee published. ADDED the main-proceedings abstract specification (3-5 A4 pages, ODT template, authorship and self-citation caps), which the previous pass left blank, and both workshop contact addresses. The two CEUR-WS workshops are "Artificial Intelligence for Cybersecurity" and "Cryptology and Data Security". Organised by the Department of Cybersecurity, Ivan Franko National University of Lviv.</t>
  </si>
  <si>
    <t>WCDS</t>
  </si>
  <si>
    <t>Workshop on Cryptology and Data Security (CDS)</t>
  </si>
  <si>
    <t>CEUR-WS planned for 2026; 2025 edition is Vol-4191</t>
  </si>
  <si>
    <t>Microsoft CMT (cmt3.research.microsoft.com/SMICS2026), subject area "Cryptology and Data Security"</t>
  </si>
  <si>
    <t>Website; CEUR volume</t>
  </si>
  <si>
    <t>crypt_smics@lnu.edu.ua (workshop); smics@lnu.edu.ua (conference)</t>
  </si>
  <si>
    <t>OPEN - 3 days to the 07.09.2026 deadline. Dates FILLED IN from /en/dates, which the previous pass missed: 07.09.2026 is the "Deadline for Submission of Registration Forms - registration form submission closes for abstracts and workshop papers", so it is the SUBMISSION deadline as well as the registration deadline; notification of paper acceptance 10.09.2026; formal invitations and schedule guidelines 15.09.2026; conference days 24-25.09.2026. FORMAT CORRECTED from "Not stated" to on-site presentations at the University of the National Education Commission in Krakow. Nine-plus co-organisers across Ukraine, Poland, Sweden and the USA; 3 main tracks, 3 working languages; registration form forms.gle/wxu2zhuXg4vcPUCk8. No fee published. On the 2026 site the workshop is styled "Cryptology and Data Security (CDS)"; the acronym WCDS kept here is the one CEUR used for the 2025 edition (Vol-4191, co-located with SMICS 2025, Lviv, 16-18.10.2025, edited by Petro Venherskyi, Serhii Yevseiev, Oleg Gutik, Valeriy Trushevskyy and Mykhailo Viachalo of Ivan Franko NU of Lviv). ADDED its own paper specification and its own contact address, crypt_smics@lnu.edu.ua.</t>
  </si>
  <si>
    <t>ICTERI</t>
  </si>
  <si>
    <t>21st</t>
  </si>
  <si>
    <t>21st International Conference on ICT in Education, Research and Industrial Applications</t>
  </si>
  <si>
    <t>Mediocre</t>
  </si>
  <si>
    <t>Springer CCIS; indexed by DBLP, EI-Compendex, Mathematical Reviews, SCImago and Scopus</t>
  </si>
  <si>
    <t>Free — "ICTERI 2026 does not charge any conference fee"</t>
  </si>
  <si>
    <t>15–18 Sep 2026</t>
  </si>
  <si>
    <t>Yuriy Fedkovych Chernivtsi National University, Chernivtsi, Ukraine</t>
  </si>
  <si>
    <t>https://icteri.org/icteri-2026/important-dates/</t>
  </si>
  <si>
    <t>EVENT STARTS IN 11 DAYS. Dates re-confirmed on /important-dates/: abstract 20.04.2026, paper 04.05.2026 extended to 18.05.2026, notification 29.06.2026, camera-ready AND registration 31.08.2026, event 15-18.09.2026. ALSO on the page: workshop proposals 09.03.2026 with notification 16.03.2026. All deadlines are Anywhere-on-Earth (23:59 Hawaii). VENUE made specific - the host is Yuriy Fedkovych Chernivtsi National University. INDEXING corrected from "Springer CCIS (2025 approval pending)" to what the site actually claims: Springer CCIS indexed by DBLP, EI-Compendex, Mathematical Reviews, SCImago and Scopus. Free: "ICTERI 2026 does not charge any conference fee." Hybrid, with a stated preference for physical attendance and virtual participation by negotiation. No submission-system URL, page limit or contact e-mail is published.</t>
  </si>
  <si>
    <t>KhPIW</t>
  </si>
  <si>
    <t>IEEE 7th KhPI Week on Advanced Technology</t>
  </si>
  <si>
    <t>IEEE; ISSN 3064-9560 (print), 3064-9579 (online), IEEE Conference Record #61439</t>
  </si>
  <si>
    <t>Online/hybrid 250 EUR IEEE member, 300 EUR non-member, 150 EUR IEEE student, 200 EUR student non-member (VAT incl.); DISCOUNTS UP TO 95% for participants from Ukraine where foreign authors are 50% or fewer</t>
  </si>
  <si>
    <t>05–09 Oct 2026</t>
  </si>
  <si>
    <t>National Technical University "Kharkiv Polytechnic Institute" (NTU "KhPI"), Kharkiv, Ukraine</t>
  </si>
  <si>
    <t>Online / hybrid</t>
  </si>
  <si>
    <t>Max 3 papers per author; +50% fee for a second paper, +75% for a third</t>
  </si>
  <si>
    <t>https://khpiweek.ieee.org.ua/</t>
  </si>
  <si>
    <t>REGISTRATION DEADLINE ADDED - 16 days out: the site's dates block gives "Final Payment Fees 20.09.2026", which the previous pass left blank. Other dates confirmed: paper 15.06.2026, acceptance 17.08.2026, final revision 30.08.2026; the conference programme is announced 07.09.2026; event 05-09.10.2026 at NTU "KhPI", Kharkiv. Fees 150-300 EUR with discounts up to 95% for participants from Ukraine where foreign authors are 50% or fewer; cashless payment only, no refunds; students and IEEE members must show proof. Proceedings ISSN 3064-9560 (print) / 3064-9579 (online), IEEE Conference Record #61439. No submission-system URL or contact e-mail is published on the site.</t>
  </si>
  <si>
    <t>IS</t>
  </si>
  <si>
    <t>13th</t>
  </si>
  <si>
    <t>IEEE 13th International Conference on Intelligent Systems</t>
  </si>
  <si>
    <t>IEEE Xplore Digital Library; Scopus; Clarivate Web of Science</t>
  </si>
  <si>
    <t>Early (to 15 Aug) / late: IEEE members 400/450 EUR, non-members 450/500 EUR, students 300/350 EUR</t>
  </si>
  <si>
    <t>03–05 Sep 2026</t>
  </si>
  <si>
    <t>Hotel Cherno More, Boulevard Slivnitsa 33, Varna, Bulgaria</t>
  </si>
  <si>
    <t>EasyChair (easychair.org/conferences/?conf=is26)</t>
  </si>
  <si>
    <t>8 pages standard, IEEE two-column conference template, English, PDF only; EUR 50 per excess page; EUR 100 discount on a second paper by the same author</t>
  </si>
  <si>
    <t>https://ieee-is-2026.blockchain2.uni-plovdiv.net/</t>
  </si>
  <si>
    <t>ieee-is@bas.bg</t>
  </si>
  <si>
    <t>EVENT RUNNING NOW (03-05.09.2026). The news log confirms every extension: submission 08.06 to 22.06 to 05.07.2026; notification 20.07 to 31.07.2026; camera-ready 10.08.2026; early registration 03.08 to 07.08 to 15.08.2026. REGISTRATION DEADLINE CORRECTED from 25.08.2026: late registration closes 25.08.2026 for ONLINE participants but 04.09.2026 for in-person participants, so the last date is 04.09.2026 - today. MP4 uploads followed the same split (25.08 online, 04.09 in person). ADDED the EasyChair route, the 8-page IEEE two-column specification with the 50 EUR excess-page charge and the 100 EUR second-paper discount, the contact address, the full venue address and Web of Science to the indexing line. Fees: early/late IEEE 400/450 EUR, non-members 450/500 EUR, students 300/350 EUR, with the early/late line drawn at 15.08.2026.</t>
  </si>
  <si>
    <t>ADT-ISMDDC</t>
  </si>
  <si>
    <t>International Scientific and Practical Workshop “Advanced Digital Technologies: Intelligent Systems, Modeling, and Data-Driven Control”</t>
  </si>
  <si>
    <t>Scopus and DBLP; selected papers expanded into a collective monograph with ISBN, DOI, UDC and BBK</t>
  </si>
  <si>
    <t>Free — "Participation ... is free of charge"</t>
  </si>
  <si>
    <t>22–24 Sep 2026</t>
  </si>
  <si>
    <t>Odesa Polytechnic National University, Shevchenko ave. 1, 65044 Odesa, Ukraine (co-located with ICST-2026)</t>
  </si>
  <si>
    <t>EasyChair (easychair.org/cfp/adtismddc2026) plus a Google Forms registration form</t>
  </si>
  <si>
    <t>CEUR article 10-15 pages in the new one-column CEUR ODT format; max 4 authors, at least one holding a PhD/DrSc with at least 4 DBLP-indexed papers</t>
  </si>
  <si>
    <t>https://icst-conf.com/</t>
  </si>
  <si>
    <t>icst_nuop@ukr.net; 126.ist.onpu@gmail.com; +38 (048) 705-85-69 (Chesnova Natalia Igorivna, business days 10:00-14:00)</t>
  </si>
  <si>
    <t>SUBMISSIONS CLOSED, EVENT AHEAD (18 days). Dates confirmed on the ICST-ODESA-2026 pages: applications and articles both 15.07.2026, preliminary acceptance with reviewer comments 30.08.2026, final acceptance 10.09.2026, event 22-24.09.2026. FURTHER MILESTONES now recorded: thesis-abstract submission 30.08.2026 (also the theses payment date), monograph applications close 20.09.2026 and monograph articles 30.09.2026 (also the monograph payment date). ADDED the paper specification (the workshop publishes through the same CEUR route as ICST: 10-15 pages, one-column CEUR ODT, max 4 authors with a qualified first author), the full venue address and the contact block - all three were blank. Participation in the workshop is free of charge. Selected papers are expanded into a collective monograph with ISBN, DOI, UDC and BBK.</t>
  </si>
  <si>
    <t>ICST</t>
  </si>
  <si>
    <t>XIV</t>
  </si>
  <si>
    <t>Information Control Systems and Technologies</t>
  </si>
  <si>
    <t>CEUR (Aachen, ISSN 1613-0073), Scopus and DBLP</t>
  </si>
  <si>
    <t>Free — participation in ICST-2026 is free of charge. Optional printed editions (Ukraine / abroad): electronic thesis 190 UAH / 35 USD, paper thesis 300 UAH / 70 USD, paper monograph 950 UAH</t>
  </si>
  <si>
    <t>Odesa Polytechnic National University, Shevchenko ave. 1, 65044 Odesa, Ukraine</t>
  </si>
  <si>
    <t>CEUR article 10-15 pages in the new one-column CEUR ODT format, max 4 authors with at least one holding a PhD/DrSc and at least 4 DBLP-indexed papers; thesis abstract 1-3 full A4 pages, Times New Roman 14pt, 1.5 line spacing; monograph article 16-24 pages, Times New Roman 12pt, 1.5 line spacing</t>
  </si>
  <si>
    <t>SUBMISSIONS CLOSED, EVENT AHEAD (18 days). Dates confirmed on the ICST-ODESA-2026 pages: applications and articles both 15.07.2026, preliminary acceptance with reviewer comments 30.08.2026, final acceptance 10.09.2026, event 22-24.09.2026. FURTHER MILESTONES now recorded: thesis-abstract submission 30.08.2026 (also the theses payment date), monograph applications close 20.09.2026 and monograph articles 30.09.2026 (also the monograph payment date). ADDED the full venue address and the contact block, and extended the paper specification with the monograph track (16-24 pages, TNR 12pt). Costs confirmed: participation free; optional printed editions Ukraine/abroad - electronic thesis 190 UAH / 35 USD, paper thesis 300 UAH / 70 USD, paper monograph 950 UAH. Proceedings in CEUR (Aachen, ISSN 1613-0073), Scopus and DBLP. XIV edition.</t>
  </si>
  <si>
    <t>XAI.it</t>
  </si>
  <si>
    <t>Italian Workshop on Explainable AI, Generative and Agentic Systems: Trust, Transparency and Human Oversight</t>
  </si>
  <si>
    <t>CEUR AIxIA series; selected papers invited to Intelligenza Artificiale (IOS Press)</t>
  </si>
  <si>
    <t>08–09 Oct 2026</t>
  </si>
  <si>
    <t>Perugia, Italy - co-located with AI*IA 2026, the 24th International Conference of the Italian Association for Artificial Intelligence</t>
  </si>
  <si>
    <t>EasyChair (easychair.org/conferences/?conf=xaiit2026)</t>
  </si>
  <si>
    <t>Regular papers 7-12 pages plus references; short and position papers 4-6 pages plus references; one-column CEUR-WS format</t>
  </si>
  <si>
    <t>https://xai-it.github.io/call.html</t>
  </si>
  <si>
    <t>marco.polignano@uniba.it</t>
  </si>
  <si>
    <t>SUBMISSIONS CLOSED, EVENT AHEAD (34 days). Dates confirmed: paper 27.07.2026, notification to authors 24.08.2026, camera-ready 14.09.2026; event 08-09.10.2026. ADDED the EasyChair submission URL, the page limits and the contact address, and named the host conference - AI*IA 2026, the 24th conference of the Italian Association for AI, in Perugia. Published in the AIxIA series of CEUR-WS; best papers invited to "Intelligenza Artificiale" (IOS Press), indexed in Scopus and the Emerging Sources Citation Index. No registration deadline or fee published.</t>
  </si>
  <si>
    <t>MCEME</t>
  </si>
  <si>
    <t>III</t>
  </si>
  <si>
    <t>III International Scientific and Theoretical Conference “Modeling and Computer Engineering in Mechanical Engineering: Theory, Practice, and Innovation”</t>
  </si>
  <si>
    <t>Papers are directed to the Lviv Polytechnic journal "Ukrainian Journal of Mechanical Engineering and Materials Science" and the interdepartmental collection "Automation of Industrial Processes in Mechanical Engineering and Instrumentation"; all publications go through double peer review</t>
  </si>
  <si>
    <t>Free — "There is no registration fee for participation in the conference"</t>
  </si>
  <si>
    <t>07–12 Sep 2026 (opening 08 Sep, 10:00)</t>
  </si>
  <si>
    <t>Lviv Polytechnic National University, 12 S. Bandera Street, Lviv 79013, Ukraine</t>
  </si>
  <si>
    <t>https://science.lpnu.ua/mceme-2026</t>
  </si>
  <si>
    <t>vasyl.t.dmytriv@lpnu.ua; +38(032)2582155, +380503724275 (chair Vasyl Dmytriv, Department of Design Machine and Automotive Engineering)</t>
  </si>
  <si>
    <t>EVENT RUNNING NOW (07-12.09.2026). Dates confirmed verbatim: 31.07.2026 18:00 applications and full text of report materials; 20.08.2026 18:00 full version of the article; 08.09.2026 10:00 opening and plenary session. Venue confirmed as Lviv Polytechnic National University, 12 S. Bandera Street, Lviv 79013 (organising committee at 1 Prof. Street, building 14). No registration fee, hotel requests by 20.08.2026. PUBLISHER CORRECTED from "Springer.org": the 2026 site routes papers to two Lviv Polytechnic outlets - the "Ukrainian Journal of Mechanical Engineering and Materials Science" and "Automation of Industrial Processes in Mechanical Engineering and Instrumentation" - with double peer review, and mentions no Springer volume. ADDED the chair's contact block. Working languages Ukrainian and English. No notification date is published.</t>
  </si>
  <si>
    <t>ITTAP</t>
  </si>
  <si>
    <t>6th</t>
  </si>
  <si>
    <t>The 6th International Conference on Information Technologies: Theoretical and Applied Problems</t>
  </si>
  <si>
    <t>DBLP and Scopus (planned)</t>
  </si>
  <si>
    <t>Free — remote participation and publication in the proceedings are free of charge</t>
  </si>
  <si>
    <t>19–21 Oct 2026</t>
  </si>
  <si>
    <t>Ternopil Ivan Puluj National Technical University, Ternopil, Ukraine</t>
  </si>
  <si>
    <t>Hybrid (remote participation available)</t>
  </si>
  <si>
    <t>Microsoft CMT (cmt3.research.microsoft.com/ITTAP2026)</t>
  </si>
  <si>
    <t>Regular papers 10-20 pages or short papers 5-9 pages, English; CEUR-ART template in .odt; max 5 co-authors; max 2 submissions per author (Programme and Organising Committee members 1)</t>
  </si>
  <si>
    <t>https://ittap.tntu.edu.ua/</t>
  </si>
  <si>
    <t>ittapua@gmail.com</t>
  </si>
  <si>
    <t>SUBMISSIONS CLOSED, EVENT AHEAD (45 days). The site shows each date twice, original and extended: paper 27.07 extended to 03.08.2026; REVISED PAPER 24.08 extended to 31.08.2026 (a milestone the tracker did not hold); notification 03.09 extended to 10.09.2026; camera-ready 15.09.2026; event 19-21.10.2026. SUBMISSION SYSTEM CORRECTED: the previous pass recorded EasyChair, but the site names Microsoft CMT at cmt3.research.microsoft.com/ITTAP2026. FORMAT refined to hybrid, and the contact e-mail and author limits added. Remote participation and publication are free; special journal publication fees apply only to papers selected for a journal. Three independent workshops run inside the conference. Proceedings to CEUR-WS, indexed in DBLP and Scopus.</t>
  </si>
  <si>
    <t>HC@AIxIA</t>
  </si>
  <si>
    <t>5th</t>
  </si>
  <si>
    <t>5th International AIxIA Workshop on Artificial Intelligence for Healthcare</t>
  </si>
  <si>
    <t>Not yet announced</t>
  </si>
  <si>
    <t>Publication venue TBA - the organisers state it "will be unveiled later"; a journal special issue or a post-proceedings volume is possible</t>
  </si>
  <si>
    <t>Authors must register for AIxIA 2026 (workshop fee not published separately)</t>
  </si>
  <si>
    <t>06–09 Oct 2026</t>
  </si>
  <si>
    <t>Perugia, Italy</t>
  </si>
  <si>
    <t>In-person (oral presentations; includes the annual AIxIA Healthcare Working Group meeting)</t>
  </si>
  <si>
    <t>ChairingTool (chairingtool.com/conferences/aixia2026/main-track?role=author)</t>
  </si>
  <si>
    <t>Full papers max 15 pages including bibliography; short, position and discussion papers max 7 pages; no page limit for non-original contributions; Springer LNCS formatting guidelines</t>
  </si>
  <si>
    <t>https://hcaixia2026.unical.it/call-for-papers/</t>
  </si>
  <si>
    <t>hc-aixia@googlegroups.com</t>
  </si>
  <si>
    <t>SUBMISSIONS CLOSED, EVENT AHEAD (32 days). THREE DATES ADDED that the previous pass left blank: notification of acceptance 27.08.2026, camera-ready 15.09.2026, early registration 04.09.2026 - today. Abstract and paper submission both 04.08.2026 (extended) confirmed. PUBLISHER CORRECTED from "CEUR.org": the call says only "The publication venue for the proceedings is TBA, and will be unveiled later", with a journal special issue or post-proceedings volume as possibilities, so CEUR is not confirmed for this edition. Submission runs through ChairingTool on the AIxIA 2026 main track, not a CEUR-style system. ADDED the LNCS formatting note and the mailing-list contact. 5th edition, Perugia, Italy, inside AIxIA 2026, 06-09.10.2026; authors must register for AIxIA 2026 and no separate workshop fee is published.</t>
  </si>
  <si>
    <t>DESSERT</t>
  </si>
  <si>
    <t>16th</t>
  </si>
  <si>
    <t>16th International IEEE Conference Dependable Systems, Services and Technologies</t>
  </si>
  <si>
    <t>IEEE Xplore Digital Library, indexed by Scopus; authors of selected papers invited to extend into Web of Science / Scopus journals</t>
  </si>
  <si>
    <t>Full registration 300 EUR non-IEEE member / 260 EUR IEEE member; students presenting a single-author paper 240 EUR non-IEEE / 200 EUR IEEE; accompanying person or participation without paper/presentation 150 EUR; online presentation for Ukrainian participants 70 EUR non-IEEE / 50 EUR IEEE</t>
  </si>
  <si>
    <t>02–04 Oct 2026</t>
  </si>
  <si>
    <t>Corfu (Kerkyra), Greece - organising committee: Department 503, National Aerospace University "KhAI", Vadym Manko str. 17, Kharkiv 61070, Ukraine</t>
  </si>
  <si>
    <t>Hybrid (remote audio/video support and as an in-person event)</t>
  </si>
  <si>
    <t>Microsoft CMT (camera-ready papers submitted to the DESSERT'2026 subject area)</t>
  </si>
  <si>
    <t>5-8 pages, PDF, IEEE conference template; peer-reviewed by at least three independent reviewers; accepted papers must be presented by a co-author ("no-show" papers are dropped)</t>
  </si>
  <si>
    <t>https://www.dessert-conf.org/dessert-2026/</t>
  </si>
  <si>
    <t>dessert@csn.khai.edu; +38 (066) 5389293, +38 (096) 1305556 (Olena Surynovych)</t>
  </si>
  <si>
    <t>SUBMISSIONS CLOSED, EVENT AHEAD (28 days). Dates confirmed: paper 12.08.2026, notification 02.09.2026, final manuscript 09.09.2026, registration and payment 12.09.2026; event 02-04.10.2026. ALSO: workshop proposals 15.07.2026 with notification 17.07.2026, and the draft programme published 17.09.2026. COST CORRECTED - this was the main error here. The previous pass recorded "not published, the Registration fees page does not resolve"; the page does resolve and gives the full euro table now recorded, including a 70/50 EUR online rate for Ukrainian participants. ADDED the Microsoft CMT route, the 5-8 page IEEE-template specification, the contact block and the hybrid format, and expanded the indexing line with Scopus and the journal invitation. Two workshops run inside the conference: EI4Safe (2nd) and HMcCS (3rd).</t>
  </si>
  <si>
    <t>CSIT</t>
  </si>
  <si>
    <t>20th</t>
  </si>
  <si>
    <t>IEEE 20th International Conference on Computer Science and Information Technologies</t>
  </si>
  <si>
    <t>IEEE Xplore Digital Library (Scopus and Web of Science indexation)</t>
  </si>
  <si>
    <t>250 EUR IEEE member, 300 EUR non-member, 150 EUR IEEE student/life member, 200 EUR student non-member; DISCOUNTS UP TO 95% for participants from Ukraine where foreign authors are 50% or fewer</t>
  </si>
  <si>
    <t>14–17 Oct 2026</t>
  </si>
  <si>
    <t>Lviv, Ukraine - Lviv Polytechnic National University with the IEEE Ukraine Section</t>
  </si>
  <si>
    <t>Microsoft CMT (cmt3.research.microsoft.com/CSITC2026)</t>
  </si>
  <si>
    <t>4 to a maximum of 6 full pages, max 6 authors, IMRaD structure required, text similarity max 30%</t>
  </si>
  <si>
    <t>https://csit.ieee.org.ua/call-for-papers/</t>
  </si>
  <si>
    <t>Website; Facebook</t>
  </si>
  <si>
    <t>SUBMISSIONS CLOSED, EVENT AHEAD (40 days). Dates confirmed: paper 20.08.2026, acceptance 25.09.2026, conference fee payment 26.09.2026; event 14-17.10.2026 in Lviv. ONE MILESTONE ADDED to the record: a PRE-ACCEPTANCE notification on 20.09.2026 precedes the 25.09.2026 acceptance notification. ADDED the hybrid format, the Microsoft CMT submission URL and the full paper specification (4-6 pages, max 6 authors, IMRaD, 30% similarity cap), and expanded the indexing line from a bare "IEEE" to IEEE Xplore with Scopus and Web of Science indexation. Fees 150-300 EUR by IEEE membership and student status, +50% for an additional paper, discounts up to 95% for participants from Ukraine where foreign authors are 50% or fewer. No contact e-mail is published on either page. 20th edition, organised with the IEEE Ukraine Section.</t>
  </si>
  <si>
    <t>IT&amp;I</t>
  </si>
  <si>
    <t>XIII</t>
  </si>
  <si>
    <t>XIII International Conference “Information Technology and Implementation”</t>
  </si>
  <si>
    <t>Springer CCIS; Scopus, SCImago, DBLP, EI-Compendex</t>
  </si>
  <si>
    <t>19–20 Nov 2026</t>
  </si>
  <si>
    <t>Taras Shevchenko National University of Kyiv, Faculty of Information Technology, 24 B. Havrylyshyna St., Kyiv, Ukraine</t>
  </si>
  <si>
    <t>Microsoft CMT (double-blind)</t>
  </si>
  <si>
    <t>Full papers 12–15+ pages; short papers 6–11 pages; Springer CCIS Word template, English</t>
  </si>
  <si>
    <t>http://iti.fit.univ.kiev.ua/en/home-2/</t>
  </si>
  <si>
    <t>Website; Submission; Facebook</t>
  </si>
  <si>
    <t>iti.fit@knu.ua; +380 44 4814407</t>
  </si>
  <si>
    <t>DEADLINE PASSED 3 DAYS AGO. Dates confirmed on the home page: paper submission 01.09.2026, notification 30.09.2026, camera-ready 15.10.2026; event 19-20.11.2026. ADDED the full venue address and the contact block. Submission through Microsoft CMT, double-blind, plagiarism-checked with Unicheck/iThenticate; full papers 12-15+ pages, short papers 6-11 pages, Springer CCIS Word template, English. Proceedings planned for Springer CCIS, indexed in Scopus, SCImago, DBLP and EI-Compendex. XIII edition, four tracks (AI and data science; cybersecurity; mathematical modelling; software engineering), co-organised with Florida State University, Igor Sikorsky KPI, the Glushkov Institute of Cybernetics, the Institute for Information Recording Problems and the Institute of Software Systems of the NAS of Ukraine. No fee published. NOTE the site is reachable only over plain HTTP - its certificate is issued for nuke.knu.ua, so HTTPS fails.</t>
  </si>
  <si>
    <t>MEMSTECH</t>
  </si>
  <si>
    <t>IEEE 20th International Conference Perspective Technologies and Methods in MEMS Design</t>
  </si>
  <si>
    <t>IEEE Xplore Digital Library; Conference Proceedings ISSN 2573-5357; "no-show" papers are not submitted to IEEE Xplore</t>
  </si>
  <si>
    <t>Not published (the Fees page does not resolve)</t>
  </si>
  <si>
    <t>13–16 Oct 2027</t>
  </si>
  <si>
    <t>Lviv Polytechnic National University, Lviv, Ukraine</t>
  </si>
  <si>
    <t>Hybrid (physical at Lviv Polytechnic National University plus virtual participation)</t>
  </si>
  <si>
    <t>Not published; working language English</t>
  </si>
  <si>
    <t>https://memstech.ieee.org.ua/</t>
  </si>
  <si>
    <t>LOCATION AND FORMAT CORRECTED - both read "Not stated" before, yet the site's masthead says plainly "Lviv Polytechnic National University, Ukraine, 13 - 16 October, 2027" and the welcome text says "in a hybrid format, combining both physical (Lviv Polytechnic National University, Ukraine) and virtual participation". CAUTION ON THE TWO DATES: the site's own Important dates block lists camera-ready papers on 15.08.2027 BEFORE notification of paper acceptance on 30.09.2027, and publishes no paper-submission deadline at all. That ordering is what the organisers printed, not a transcription slip, but it cannot be right as stated - treat both dates as unreliable and confirm with the organisers. Indexing expanded with the proceedings ISSN and the no-show rule. Still no fee, no submission system and no contact e-mail anywhere on the site; the Fees page does not resolve. 20th edition, organised by the IEEE Ukraine Section with Lviv Polytechnic.</t>
  </si>
  <si>
    <t>DAO-XAI</t>
  </si>
  <si>
    <t>Data meets Ontologies in Explainable AI 2024</t>
  </si>
  <si>
    <t>Finished</t>
  </si>
  <si>
    <t>19 Oct 2024</t>
  </si>
  <si>
    <t>Not stated (an ECAI 2024 workshop)</t>
  </si>
  <si>
    <t>EasyChair (conf=daoxai2024)</t>
  </si>
  <si>
    <t>https://sites.google.com/view/daoxai2024</t>
  </si>
  <si>
    <t>roberto.confalonieri@unipd.it; oliver.kutz@unibz.it</t>
  </si>
  <si>
    <t>ARCHIVED. Submission 14.06.2024 and the 19.10.2024 workshop day stand; the site publishes no notification, camera-ready or registration date and no fee, and it never named a venue beyond being an ECAI 2024 workshop. ADDED the two organiser contacts, which were blank. A late second chance existed: authors of papers rejected elsewhere could request consideration by 11.07.2024 through forms.gle/QPav5rHVMCuSMhFZ. Submission through EasyChair (conf=daoxai2024).</t>
  </si>
  <si>
    <t>DTER</t>
  </si>
  <si>
    <t>1st</t>
  </si>
  <si>
    <t>1st International Workshop on Digital Technologies for Enhancing Resilience</t>
  </si>
  <si>
    <t>Elsevier</t>
  </si>
  <si>
    <t>500 EUR (tracker figure, not restated on the site)</t>
  </si>
  <si>
    <t>28–30 Oct 2024</t>
  </si>
  <si>
    <t>Leuven, Belgium</t>
  </si>
  <si>
    <t>https://science.lpnu.ua/dter-2024</t>
  </si>
  <si>
    <t>ARCHIVED, ALL DATES CONFIRMED verbatim on the LPNU dates block: 16.08.2024 23:00 papers submission due, 08.09.2024 23:00 authors notifications, 27.09.2024 23:00 camera-ready, 28.10.2024 23:00 opening. Event 28-30.10.2024, Leuven, Belgium. Held in conjunction with a 15th International Conference on Emerging (title truncated on the page). No separate registration deadline was ever published - the fourth date in the block is the opening, not a registration cut-off, so that cell is correctly left empty. No page limit or contact e-mail published.</t>
  </si>
  <si>
    <t>ATIT</t>
  </si>
  <si>
    <t>IEEE 5th International Conference on Advanced Trends in Information Theory</t>
  </si>
  <si>
    <t>IEEE Xplore Digital Library</t>
  </si>
  <si>
    <t>Free</t>
  </si>
  <si>
    <t>21–23 Nov 2024</t>
  </si>
  <si>
    <t>Ivan Franko National University of Lviv, Lviv, Ukraine</t>
  </si>
  <si>
    <t>https://atit.ieee.org.ua/</t>
  </si>
  <si>
    <t>ARCHIVED. TWO FIELDS CORRECTED. VENUE was "Not stated", but the site says the conference "will be held at Ivan Franko National University of Lviv on November 21 - 23, 2024". REGISTRATION DEADLINE ADDED: the dates block gives 30.10.2024 as "Final Registration for Participation". Other dates confirmed: paper submission opened 01.06.2024 and was due 10.09.2024; final acceptance notification 25.10.2024; a further 05.11.2024 milestone appears in the block. IEEE Conference Valid Registration #64324. The site notes the proceedings and review process were placed under quality control with a re-review pending. Free of charge. No camera-ready date, page limit or contact e-mail published.</t>
  </si>
  <si>
    <t>CSITIC</t>
  </si>
  <si>
    <t>7th International Scientific and Technical Conference COMPUTER AND INFORMATIONAL SYSTEMS AND TECHNOLOGIES</t>
  </si>
  <si>
    <t>Not specified</t>
  </si>
  <si>
    <t>Journal-style proceedings portal (OJS)</t>
  </si>
  <si>
    <t>100 UAH (2024 tracker figure)</t>
  </si>
  <si>
    <t>26 Sep 2024</t>
  </si>
  <si>
    <t>Kharkiv National University of Radio Electronics, Kharkiv, Ukraine</t>
  </si>
  <si>
    <t>OJS portal</t>
  </si>
  <si>
    <t>https://csitic.nure.ua/</t>
  </si>
  <si>
    <t>iryna.perova@nure.ua (Nelia Miroshnichenko)</t>
  </si>
  <si>
    <t>ARCHIVED and NO LONGER VERIFIABLE IN FULL: csitic.nure.ua no longer carries the 2024 programme, so the 21.09.2024 submission date and the 26.09.2024 event day could not be re-confirmed from the source and are retained from the earlier pass. ADDED the contact address recovered from the current site. 100 UAH, OJS portal submission, Kharkiv National University of Radio Electronics. Treat the dates as unverified.</t>
  </si>
  <si>
    <t>BEWARE</t>
  </si>
  <si>
    <t>Bias, Risk, Explainability, Ethical AI and the role of Logic and Logic Programming 2024</t>
  </si>
  <si>
    <t>CEUR-WS Vol-3881</t>
  </si>
  <si>
    <t>26 Nov 2024</t>
  </si>
  <si>
    <t>Bolzano, Italy</t>
  </si>
  <si>
    <t>https://sites.google.com/view/beware2024</t>
  </si>
  <si>
    <t>ARCHIVED, ALL DATES CONFIRMED verbatim: "Submission deadline: 30 September 2024", "Notification: 20 October 2024", "Camera-ready: 4 November 2024", "Workshop dates: 26 November 2024". Bolzano, Italy. No registration deadline, fee, page limit or contact address is published on the site.</t>
  </si>
  <si>
    <t>ADP</t>
  </si>
  <si>
    <t>Algorithms of Data Processing 2024</t>
  </si>
  <si>
    <t>Not tagged</t>
  </si>
  <si>
    <t>CEUR-WS Vol-3895</t>
  </si>
  <si>
    <t>Free — "Participation is Free of charge"</t>
  </si>
  <si>
    <t>05 Nov 2024</t>
  </si>
  <si>
    <t>Kyiv, Ukraine</t>
  </si>
  <si>
    <t>In-person (virtual option for participants at risk or abroad)</t>
  </si>
  <si>
    <t>https://ans.kai.edu.ua/adp/</t>
  </si>
  <si>
    <t>Maksym.Zaliskyi@npp.nau.edu.ua</t>
  </si>
  <si>
    <t>ARCHIVED, ALL DATES CONFIRMED: paper submission 01.10.2024, acceptance notification 10.10.2024, revised-paper submission 20.10.2024 (this is the date recorded as camera-ready), registration 20.10.2024, workshop 05.11.2024. ADDED the contact address, which was blank. Free, Kyiv, in-person with a virtual option. No page limit published.</t>
  </si>
  <si>
    <t>RECI</t>
  </si>
  <si>
    <t>The 3rd International Workshop on Reliability Engineering and Computational Intelligence</t>
  </si>
  <si>
    <t>Springer Studies in Computational Intelligence; also the CERES journal</t>
  </si>
  <si>
    <t>Online participation without any fee; in-person fee not published</t>
  </si>
  <si>
    <t>06–08 Nov 2024</t>
  </si>
  <si>
    <t>University of Zilina, Zilina, Slovakia</t>
  </si>
  <si>
    <t>https://reci.fri.uniza.sk/</t>
  </si>
  <si>
    <t>Website; Call for paper</t>
  </si>
  <si>
    <t>ARCHIVED, ALL DATES CONFIRMED including the unusual one: abstract submission 25.10.2024, notification of acceptance of abstracts 30.10.2024, registration 05.11.2024, workshop 06-08.11.2024, and camera-ready 31.01.2025 - the camera-ready really does fall after the event, because RECI publishes post-proceedings. ONE MILESTONE ADDED to the record: notification of acceptance FOR PUBLICATION on 06.12.2024, between the workshop and the camera-ready date. University of Zilina, Slovakia; free online, 200 EUR in person. No page limit or contact address published.</t>
  </si>
  <si>
    <t>C&amp;D</t>
  </si>
  <si>
    <t>4TH INTERNATIONAL ONLINE CONFERENCE ‘CORPORA AND DISCOURSE’</t>
  </si>
  <si>
    <t>Short abstracts published in the conference proceedings</t>
  </si>
  <si>
    <t>Free — "The conference is free to attend, present and publish short abstracts"</t>
  </si>
  <si>
    <t>Igor Sikorsky Kyiv Polytechnic Institute, Ukraine (online)</t>
  </si>
  <si>
    <t>Online</t>
  </si>
  <si>
    <t>Application form + abstract by e-mail</t>
  </si>
  <si>
    <t>Short abstracts in Word</t>
  </si>
  <si>
    <t>https://corpora.kamts1.kpi.ua/cad</t>
  </si>
  <si>
    <t>corporadiscourse.kpi@gmail.com</t>
  </si>
  <si>
    <t>ARCHIVED. "Final submission: November 11, 2024" confirmed, and it doubles as the registration date; the conference ran online on 26.11.2024 at Igor Sikorsky Kyiv Polytechnic Institute. The site publishes no notification and no camera-ready date, so those cells are correctly empty. Abstracts went by e-mail in Word to corporadiscourse.kpi@gmail.com. No fee published.</t>
  </si>
  <si>
    <t>WDA</t>
  </si>
  <si>
    <t>Workshop on Data Analytics 2025</t>
  </si>
  <si>
    <t>06 Jan 2025</t>
  </si>
  <si>
    <t>Virtual option offered</t>
  </si>
  <si>
    <t>https://ans.kai.edu.ua/wda/</t>
  </si>
  <si>
    <t>vany@kai.edu.ua</t>
  </si>
  <si>
    <t>ARCHIVED, ALL DATES CONFIRMED: paper submission 25.11.2024, acceptance notification 09.12.2024, revised-paper submission 16.12.2024 (recorded as camera-ready), registration 16.12.2024, workshop 06.01.2025. ADDED the contact address. Free, Kyiv, virtual option offered. No page limit published.</t>
  </si>
  <si>
    <t>SAIC</t>
  </si>
  <si>
    <t>IEEE International Conference on System Analysis &amp; Intelligent Computing (SAIC)</t>
  </si>
  <si>
    <t>IEEE (conference registration pending, application #65508)</t>
  </si>
  <si>
    <t>50 UAH... 50 EUR (2025 figure from the tracker, not restated on the site)</t>
  </si>
  <si>
    <t>Never confirmed</t>
  </si>
  <si>
    <t>http://saic.ieee.org.ua/</t>
  </si>
  <si>
    <t>ARCHIVED and NOT PROPERLY VERIFIABLE: saic.ieee.org.ua is still largely an unfilled template. Alongside "Submission Deadline is January 2nd!" (no year) the page carries obvious placeholder copy such as "December 12th at 8pm, ABC Hall", plus a leftover "SAIC Pre-Conference Workshop Schedule (not a conference) 8 - 10 October 2024". No conference dates, venue, notification, camera-ready or registration date were ever published, which is why those cells stay empty and Event Dates reads "Never confirmed". The 50 EUR figure is carried from the earlier tracker. Treat this entry as unconfirmed.</t>
  </si>
  <si>
    <t>BESD</t>
  </si>
  <si>
    <t>International Scientific and Practical Conference Business Ecosystems: Sustainable Development 2025</t>
  </si>
  <si>
    <t>Not verified</t>
  </si>
  <si>
    <t>Free (2025 tracker figure, not verified)</t>
  </si>
  <si>
    <t>03 Feb 2025</t>
  </si>
  <si>
    <t>https://be-sd.org/</t>
  </si>
  <si>
    <t>olena.vasilyeva@gmail.com (coordinator)</t>
  </si>
  <si>
    <t>ARCHIVED, but the site has MOVED ON TO A NEW EDITION and no longer describes the 2025 one, so the 20.01.2025 submission date and the 03.02.2025 event day could not be re-confirmed and are retained from the earlier pass. WORTH YOUR ATTENTION: be-sd.org now advertises BESD 2026 on 24-25 September 2026, with submission deadline 10 August 2026 (already past) and acceptance notification 25 August 2026, followed by staged milestones on 1-10 September, 11-15 September, 1-15 October, 15-25 October and 31 October 2026. Consider adding it as its own row. ADDED the coordinator contact.</t>
  </si>
  <si>
    <t>ICSF</t>
  </si>
  <si>
    <t>The 6th International Conference on Sustainable Futures: Environmental, Technological, Social and Economic Matters</t>
  </si>
  <si>
    <t>IOP Publishing</t>
  </si>
  <si>
    <t>Publisher APC applies to accepted and declined articles alike</t>
  </si>
  <si>
    <t>Free for corresponding authors based in or affiliated with Ukrainian institutions; 60 EUR otherwise (presentation &amp; publication); audience free</t>
  </si>
  <si>
    <t>21–23 May 2025 (workshop day 20 May)</t>
  </si>
  <si>
    <t>Kryvyi Rih, Ukraine</t>
  </si>
  <si>
    <t>Morressier (morressier.com/call-for-papers/6501c5b1cd3f7d001924450d) - the page labels the link "HotCRP"</t>
  </si>
  <si>
    <t>Full original research papers, 6+ pages</t>
  </si>
  <si>
    <t>https://icsf.easyscience.education/2025/</t>
  </si>
  <si>
    <t>ak24avo@gmail.com, +380979157215 (Volodymyr Artemchuk); semerikov@gmail.com (Serhiy Semerikov); bondarenko.olga@kdpu.edu.ua, +380676053756; iasei@easyscience.education, +380661083907; s.v.klimov@nuwm.edu.ua, +380980539790; budfac@gmail.com, +380672694385</t>
  </si>
  <si>
    <t>ARCHIVED, ALL DATES CONFIRMED: submission 31.01.2025, notification 01.04.2025, camera-ready 01.05.2025, registration 11.05.2025; event 21-23.05.2025 with a workshop day on 20.05.2025, Kryvyi Rih. SUBMISSION SYSTEM CORRECTED: the page calls the link "HotCRP" but it actually points at Morressier (morressier.com/call-for-papers/6501c5b1cd3f7d001924450d). ADDED the six-strong organiser contact list, which was blank. Fee refined by the source: free for corresponding authors in Ukraine or at a Ukrainian institution, 60 EUR otherwise (presentation and publication). Published by IOP Publishing.</t>
  </si>
  <si>
    <t>DECaT</t>
  </si>
  <si>
    <t>Digital Economy Concepts and Technologies Workshop</t>
  </si>
  <si>
    <t>Free — "Registration fee: free"</t>
  </si>
  <si>
    <t>04 Apr 2025</t>
  </si>
  <si>
    <t>Short papers 5–9 CEUR-WS pages; regular papers at least 10 pages</t>
  </si>
  <si>
    <t>https://decat.eae.com.ua/</t>
  </si>
  <si>
    <t>decat@kubg.edu.ua</t>
  </si>
  <si>
    <t>ARCHIVED, ALL DATES CONFIRMED verbatim: "Paper submission deadline: March 8, 2025", "Notification of acceptance: March 15, 2025", "Camera-ready submission: March 22, 2025"; workshop 04.04.2025. ADDED the contact address. Free. The site also shows the previous edition's volume, CEUR-WS Vol. 3665 of 04.04.2024. No registration deadline is published.</t>
  </si>
  <si>
    <t>IntSol</t>
  </si>
  <si>
    <t>IV</t>
  </si>
  <si>
    <t>IV International Scientific Symposium “Intelligent Solutions”</t>
  </si>
  <si>
    <t>CEUR-WS, ISSN 1613-0073</t>
  </si>
  <si>
    <t>Not published (a Terms &amp; Fees page is linked)</t>
  </si>
  <si>
    <t>01–05 May 2025</t>
  </si>
  <si>
    <t>https://intsol.knu.ua/</t>
  </si>
  <si>
    <t>ARCHIVED, ALL DATES CONFIRMED: "Paper Submission deadline: 01 April 2025", "Notification of acceptance: 10 April 2025", "Notification for camera-ready: 15 April 2025". The event dates 01-05.05.2025 are corroborated independently by CEUR Vol-4035, which places the co-located IWSCI workshop at "Kyiv-Uzhhorod, Ukraine, May 01-05, 2025" and names the parent as the IV International Scientific Symposium "Intelligent Solutions". No registration deadline, page limit, fee or contact address is published on the site.</t>
  </si>
  <si>
    <t>AREdu</t>
  </si>
  <si>
    <t>8th</t>
  </si>
  <si>
    <t>The 8th International Workshop on Augmented Reality in Education</t>
  </si>
  <si>
    <t>CEUR-WS Vol-4060</t>
  </si>
  <si>
    <t>13 May 2025</t>
  </si>
  <si>
    <t>Full papers, at least 10 pages, one-column CEURART style</t>
  </si>
  <si>
    <t>https://aredu.easyscience.education/aredu2025/</t>
  </si>
  <si>
    <t>andrey.n.stryuk@gmail.com, +380-68-9030013 (Andrii Striuk)</t>
  </si>
  <si>
    <t>ARCHIVED. Submission 10.04.2025, notification 06.05.2025, registration 10.05.2025, camera-ready 20.05.2025 and the 13.05.2025 workshop day are retained; the current page confirms the organiser contact but no longer displays the dates block. ADDED the contact, which was blank. 8th edition, Kryvyi Rih, HotCRP submission, CEUR proceedings. No fee published.</t>
  </si>
  <si>
    <t>UkrPROG</t>
  </si>
  <si>
    <t>15th</t>
  </si>
  <si>
    <t>The 15th International Scientific and Practical Conference on Programming</t>
  </si>
  <si>
    <t>900 UAH + 100 UAH per page beyond 9 pages (2025 tracker figure, not verified)</t>
  </si>
  <si>
    <t>13-14 May 2025</t>
  </si>
  <si>
    <t>Institute of Software Systems, NAS of Ukraine, Kyiv</t>
  </si>
  <si>
    <t>https://iss.nas.gov.ua/</t>
  </si>
  <si>
    <t>iss@isofts.kiev.ua</t>
  </si>
  <si>
    <t>ARCHIVED. EVENT DATES CORRECTED from a single day to 13-14.05.2025: CEUR Vol-4049 records its co-located workshop as "at the 15th International Scientific and Practical Programming Conference (UkrPROG 2025), Kyiv, Ukraine, May 13-14, 2025", so the conference itself ran two days. ADDED the institute contact. NOTE the recorded URL is the Institute of Software Systems' general events page, not a stable conference page - it now lists 2026 dates (29.05, 16.06, 03.07, 04.07, 20.07.2026), so the 11.04.2025 submission date could not be re-confirmed from the source. Fee 900 UAH plus 100 UAH per page beyond 9. No notification or camera-ready date was ever published.</t>
  </si>
  <si>
    <t>CMSE</t>
  </si>
  <si>
    <t>Computational Methods in Systems Engineering</t>
  </si>
  <si>
    <t>12 Jun 2025</t>
  </si>
  <si>
    <t>https://ans.kai.edu.ua/cmse/</t>
  </si>
  <si>
    <t>volianskyi.roman@lll.kpi.ua</t>
  </si>
  <si>
    <t>ARCHIVED, ALL DATES CONFIRMED: paper submission 14.04.2025, acceptance notification 05.05.2025, revised-paper submission 19.05.2025 (recorded as camera-ready), registration 26.05.2025, workshop 12.06.2025. ADDED the contact address. Free, Kyiv, in-person. Note the acronym-year: the tracker previously carried this as CMSE 2024 with a June 2024 event; the site's own schedule is the 2025 one now recorded. No page limit published.</t>
  </si>
  <si>
    <t>ISDMCI</t>
  </si>
  <si>
    <t>Intellectual Decision-Making Systems and Problems of Computational Intelligence - International Scientific Conference</t>
  </si>
  <si>
    <t>Springer Lecture Notes in Data Engineering, Computational Intelligence and Decision-Making</t>
  </si>
  <si>
    <t>20 EUR (2025 tracker figure, not verified)</t>
  </si>
  <si>
    <t>https://www.isdmci.ks.ua/</t>
  </si>
  <si>
    <t>Website; Publication</t>
  </si>
  <si>
    <t>ARCHIVED and NOT VERIFIABLE: https://www.isdmci.ks.ua/ returns HTTP 404 and the bare domain isdmci.ks.ua 404s as well, so the site is gone. The 30.04.2025 submission date, the 19.06.2025 camera-ready date, the 20 EUR fee and the Springer route are all retained from the earlier pass and could not be re-checked on 04.09.2026. Event dates were never published. Treat the whole entry as unverified.</t>
  </si>
  <si>
    <t>AEQUITAS</t>
  </si>
  <si>
    <t>Fairness and Bias in AI</t>
  </si>
  <si>
    <t>25–30 Oct 2025 (within ECAI 2025)</t>
  </si>
  <si>
    <t>Bologna, Italy</t>
  </si>
  <si>
    <t>https://aequitas-aod.github.io/aequitas-ecai25.github.io/dates.html</t>
  </si>
  <si>
    <t>ARCHIVED. Dates confirmed with one caveat: submission 15.05.2025 extended to 26.06.2025, notification 20.07.2025, and camera-ready 08.09.2025 - but the source page actually prints "Camera-Ready submission: September 8th, 2024", a year typo by the organisers, since the workshop ran in October 2025. The 2025 reading recorded here is the only coherent one. Event 25-30.10.2025 within ECAI 2025, Bologna. No registration deadline, fee, page limit or contact address published.</t>
  </si>
  <si>
    <t>CSDP</t>
  </si>
  <si>
    <t>Cyber Security and Data Protection 2024</t>
  </si>
  <si>
    <t>31 Jul 2025</t>
  </si>
  <si>
    <t>Lviv Polytechnic National University, Ukraine</t>
  </si>
  <si>
    <t>https://csdp.lpnu.ua/</t>
  </si>
  <si>
    <t>ARCHIVED and NOT VERIFIABLE: https://csdp.lpnu.ua/ returns HTTP 522 (the origin server is down), so nothing could be re-read on 04.09.2026. The 20.07.2025 submission date, the 31.07.2025 event day, the free-participation note and the CEUR route are retained from the earlier pass; no notification, camera-ready or registration date was ever recorded. Treat the entry as unverified.</t>
  </si>
  <si>
    <t>ArgXAI</t>
  </si>
  <si>
    <t>Argumentation for eXplainable AI 2025</t>
  </si>
  <si>
    <t>CEUR-WS (proceedings online)</t>
  </si>
  <si>
    <t>26 Oct 2025</t>
  </si>
  <si>
    <t>CEUR-WS template</t>
  </si>
  <si>
    <t>https://people.cs.umu.se/tkampik/argxai/2025.html</t>
  </si>
  <si>
    <t>ARCHIVED, ALL DATES CONFIRMED: "Paper submission deadline: 15 July 2025 22 July 2025 (AoE)" - extended to 22.07.2025 - notification 10.09.2025, camera-ready 01.10.2025. The workshop day 26.10.2025 sits inside ECAI 2025 in Bologna; note the page prints the ECAI window as "25-20 October 2025", a typo for 25-30 October. No registration deadline, fee or published contact (the only address on the page, argxai24@easychair.org, is inside an HTML comment and carries the 2024 year, so it is not recorded here).</t>
  </si>
  <si>
    <t>DigiTransfEd</t>
  </si>
  <si>
    <t>4th Workshop on Digital Transformation of Education</t>
  </si>
  <si>
    <t>CEUR-WS Vol-4096</t>
  </si>
  <si>
    <t>24 Sep 2025</t>
  </si>
  <si>
    <t>Microsoft CMT</t>
  </si>
  <si>
    <t>Full papers, at least 6 pages</t>
  </si>
  <si>
    <t>https://digitransfed.ztu.edu.ua/</t>
  </si>
  <si>
    <t>tetianavakaliuk@acnsci.org, +380-96-065-3099 (Tetiana Vakaliuk)</t>
  </si>
  <si>
    <t>ARCHIVED. Submission 31.07.2025, notification 30.08.2025, camera-ready 14.09.2025, registration 18.09.2025 and the 24.09.2025 workshop day are retained; the current page confirms the organiser contact but no longer shows the dates block. ADDED the contact, which was blank. Microsoft CMT submission, CEUR proceedings, free.</t>
  </si>
  <si>
    <t>SCIA-SKID</t>
  </si>
  <si>
    <t>4th International Workshop on Social Communication and Information Activity in Digital Humanities 2025</t>
  </si>
  <si>
    <t>CEUR Workshop Proceedings</t>
  </si>
  <si>
    <t>30 Oct 2025</t>
  </si>
  <si>
    <t>Lviv Polytechnic National University (SKID department), Ukraine</t>
  </si>
  <si>
    <t>https://skid.lpnu.ua/?page_id=220</t>
  </si>
  <si>
    <t>Via the SKID department, Lviv Polytechnic National University (no e-mail published on the workshop page)</t>
  </si>
  <si>
    <t>ARCHIVED, ALL DATES CONFIRMED verbatim on the SKID page: "01.09.2025 - Paper submission deadline", "14.10.2025 - Notification of acceptance", "21.10.2025 - Camera ready submission deadline". The event day is corroborated by CEUR Vol-4107: "Proceedings of the 4th International Workshop on Social Communication and Information Activity in Digital Humanities (SCIA 2025), Lviv, Ukraine, October 30, 2025", edited by Pavlo Zhezhnych, Oleksandr Markovets, Alina Petrushka and Sergiy Gn... Free. No registration deadline or page limit published.</t>
  </si>
  <si>
    <t>CIAW</t>
  </si>
  <si>
    <t>Computational Intelligence Application Workshop</t>
  </si>
  <si>
    <t>CEUR-WS Vol-4110 (published 30.11.2025); DBLP, Scopus, Google Scholar</t>
  </si>
  <si>
    <t>26-27 Sep 2025 (inside CISS-2025, 25-27 Sep)</t>
  </si>
  <si>
    <t>Mixed (online/offline)</t>
  </si>
  <si>
    <t>E-mail to cissconference@lpnu.ua</t>
  </si>
  <si>
    <t>CEURART style, LaTeX or ODT template</t>
  </si>
  <si>
    <t>https://science.lpnu.ua/ciss-2025/workshop-ciaw-2025</t>
  </si>
  <si>
    <t>Website; CEUR volume (ceur-ws.org/Vol-4110/)</t>
  </si>
  <si>
    <t>cissconference@lpnu.ua</t>
  </si>
  <si>
    <t>ARCHIVED. EVENT DATES CORRECTED from 25-27 to 26-27.09.2025: CEUR Vol-4110 records the workshop itself as "Lviv, Ukraine, September 26-27, 2025", edited by Vasyl Teslyuk, Natalia Kryvinska, Aneta Poniszewska-Maranda, Vasyl Lytvyn and Lyubomyr Chyrun. The parent conference CISS-2025 ran the full 25-27.09.2025. THE VOLUME IS PUBLISHED and now recorded: ceur-ws.org/Vol-4110/. Submission 10.09.2025 and notification 15.09.2025 follow the CISS-2025 dates block. ADDED the submission e-mail cissconference@lpnu.ua. CEURART style mandatory (LaTeX CEURART or LibreOffice ODT); papers must be computer-science related, with no footnotes or page numbers. Free, mixed online/offline.</t>
  </si>
  <si>
    <t>CISS</t>
  </si>
  <si>
    <t>II</t>
  </si>
  <si>
    <t>II International Scientific and Practical Conference “Computational Intelligence and Smart Systems”</t>
  </si>
  <si>
    <t>25–27 Sep 2025</t>
  </si>
  <si>
    <t>CEURART style mandatory - LaTeX CEURART or the LibreOffice ODT template; the topic must be directly related to computer science, information systems or information technology; no footnotes and no page numbers; high-quality graphics</t>
  </si>
  <si>
    <t>https://science.lpnu.ua/ciss-2025</t>
  </si>
  <si>
    <t>ARCHIVED, ALL DATES CONFIRMED verbatim on the LPNU dates block: 10.09.2025 23:00 paper submission deadline, 15.09.2025 23:00 notification of acceptance, 25.09.2025 10:00 opening; event 25-27.09.2025 at Lviv Polytechnic. The site styles it the "2nd International Scientific and Practical Conference Computational Intelligence and Smart Systems CISS-2025". ADDED the submission e-mail and the CEURART formatting requirements, both blank before. Free, mixed online/offline. No camera-ready or registration date was published. Its CIAW-2025 workshop volume is CEUR Vol-4110; no separate CISS volume was found on CEUR.</t>
  </si>
  <si>
    <t>SECS</t>
  </si>
  <si>
    <t>4th International Conference "Challenges and Reality of the IT-space: Software Engineering and Cybersecurity"</t>
  </si>
  <si>
    <t>Journal</t>
  </si>
  <si>
    <t>23–24 Oct 2025</t>
  </si>
  <si>
    <t>Kyiv, Ukraine (online)</t>
  </si>
  <si>
    <t>Microsoft CMT (SECS2025)</t>
  </si>
  <si>
    <t>Conference paper template provided</t>
  </si>
  <si>
    <t>https://secs.knute.edu.ua//2025/index.html</t>
  </si>
  <si>
    <t>Website; CMT</t>
  </si>
  <si>
    <t>conf_SECS@knute.edu.ua</t>
  </si>
  <si>
    <t>ARCHIVED. Event dates confirmed verbatim: "(SECS-2025) Thursday, 23 October 2025 - Friday, 24 October 2025". Submission 15.09.2025 and notification 30.09.2025 are retained from the earlier pass; the site publishes no camera-ready or registration date. Free, online, Kyiv; Microsoft CMT (SECS2025); contact conf_SECS@knute.edu.ua. 4th edition.</t>
  </si>
  <si>
    <t>IDDM</t>
  </si>
  <si>
    <t>8th International Conference on Informatics &amp; Data-Driven Medicine</t>
  </si>
  <si>
    <t>19–20 Nov 2025</t>
  </si>
  <si>
    <t>Lviv Polytechnic National University, Ukraine; the site banner also names Comenius University Bratislava, Slovakia</t>
  </si>
  <si>
    <t>CEURART style (LaTeX CEURART.zip or the LibreOffice ODT template)</t>
  </si>
  <si>
    <t>https://science.lpnu.ua/iddm-2025</t>
  </si>
  <si>
    <t>ARCHIVED, ALL DATES CONFIRMED verbatim on the LPNU dates block: 10.10.2025 23:59 paper submission, 10.11.2025 18:00 notification of acceptance, 17.11.2025 10:00 camera-ready, 19.11.2025 10:00 opening; event 19-20.11.2025 at Lviv Polytechnic. The site names it "The 8th International Conference on Informatics &amp; Data-Driven Medicine (IDDM 2025)" and states the proceedings "shall be submitted to CEUR-WS.org for online publication". ADDED the CEURART formatting requirement. Free. No registration deadline or contact e-mail is published, and no IDDM 2025 volume was found on CEUR yet.</t>
  </si>
  <si>
    <t>CS&amp;SE@SW</t>
  </si>
  <si>
    <t>8th Workshop for Young Scientists in Computer Science &amp; Software Engineering</t>
  </si>
  <si>
    <t>21 Nov 2025</t>
  </si>
  <si>
    <t>Full papers, at least 10 pages</t>
  </si>
  <si>
    <t>https://cssesw.easyscience.education/cssesw2025/</t>
  </si>
  <si>
    <t>ARCHIVED. The submission deadline is confirmed verbatim: papers went "through the HotCRP (https://notso.easyscience.education/cssesw/2025/) by October 12, 2025". Notification 13.11.2025, registration 18.11.2025, camera-ready 27.11.2025 and the 21.11.2025 workshop day are retained from the earlier pass; the current page no longer shows that block. ADDED the contact, which was blank. 8th workshop, Kryvyi Rih, CEUR proceedings. No fee published.</t>
  </si>
  <si>
    <t>AdvAIT</t>
  </si>
  <si>
    <t>2nd</t>
  </si>
  <si>
    <t>2nd International Workshop on Advanced Applied Information Technologies</t>
  </si>
  <si>
    <t>Scopus &amp; DBLP (planned)</t>
  </si>
  <si>
    <t>Free — "Participation and publication are free of charge"</t>
  </si>
  <si>
    <t>05 Dec 2025</t>
  </si>
  <si>
    <t>Khmelnytskyi, Ukraine &amp; Zilina, Slovakia</t>
  </si>
  <si>
    <t>Regular 10–20 or short 5–9 pages, English</t>
  </si>
  <si>
    <t>http://kiis.khmnu.edu.ua/advait-2025/</t>
  </si>
  <si>
    <t>advapplit@gmail.com; pavlovao@khmnu.edu.ua</t>
  </si>
  <si>
    <t>ARCHIVED, ALL DATES CONFIRMED verbatim: "Paper submission deadline: October 26, 2025 (the deadline is final, no extension of submission is planned)", "Notification of acceptance: November 24, 2025", "Camera-ready submission deadline: December 1, 2025"; workshop 05.12.2025. ADDED both contact addresses, which were blank. Free, Khmelnytskyi National University with Zilina, Slovakia; CEUR proceedings. No registration deadline published.</t>
  </si>
  <si>
    <t>ESS</t>
  </si>
  <si>
    <t>9th</t>
  </si>
  <si>
    <t>IEEE 9th International Conference on Energy Smart Systems</t>
  </si>
  <si>
    <t>IEEE</t>
  </si>
  <si>
    <t>Not published (a Participation fee and payment details page is linked)</t>
  </si>
  <si>
    <t>21–24 Apr 2026</t>
  </si>
  <si>
    <t>Igor Sikorsky Kyiv Polytechnic Institute, Kyiv, Ukraine</t>
  </si>
  <si>
    <t>Microsoft CMT (the live link still points at cmt3.research.microsoft.com/ESS2024)</t>
  </si>
  <si>
    <t>https://ess.ieee.org.ua/</t>
  </si>
  <si>
    <t>ARCHIVED. VENUE CORRECTED from "Not stated" - the site names Igor Sikorsky Kyiv Polytechnic Institute as host. Dates confirmed: full-paper submission 30.11.2025, notification of acceptance 22.03.2026, conference 21-24.04.2026. SUBMISSION SYSTEM ADDED as Microsoft CMT, but note the link on the page still carries the 2024 slug (cmt3.research.microsoft.com/ESS2024). The site also leaves a stale "Pre-Conference Workshop: October 29-31, 2024" block in place. No camera-ready date, registration deadline, fee, page limit or contact e-mail is published; the participation-fee page does not resolve. 9th edition.</t>
  </si>
  <si>
    <t>TCSET</t>
  </si>
  <si>
    <t>18th</t>
  </si>
  <si>
    <t>IEEE 18th International Conference on Advanced Trends in Radioelectronics, Telecommunications and Computer Engineering</t>
  </si>
  <si>
    <t>Not published (a Conference Fee page is linked)</t>
  </si>
  <si>
    <t>17–21 Feb 2026</t>
  </si>
  <si>
    <t>Lviv, Ukraine</t>
  </si>
  <si>
    <t>https://tcset.ieee.org.ua/</t>
  </si>
  <si>
    <t>ARCHIVED, ALL DATES CONFIRMED verbatim: 30.11.2025 paper submission, 12.01.2026 acceptance notification, 14.01.2026 final revision submission, 21.01.2026 payment of fees; the programme was announced 16.01.2026 and the conference ran 17-21.02.2026 in Lviv in hybrid format, inside the IEEE Lviv Polytechnic Winter Week. IEEE Conference Valid Registration #65181. The fee page is linked but publishes no amounts, and no submission-system URL, page limit or contact e-mail appears on the site. 18th edition.</t>
  </si>
  <si>
    <t>ELNANO</t>
  </si>
  <si>
    <t>IEEE International Conference on Electronics and Nanotechnology (ELNANO)</t>
  </si>
  <si>
    <t>240 EUR IEEE member, 290 EUR non-member, 145 EUR IEEE student, 190 EUR student non-member (VAT incl.)</t>
  </si>
  <si>
    <t>27–30 Apr 2026</t>
  </si>
  <si>
    <t>Microsoft CMT (cmt3.research.microsoft.com/ELNANO2026)</t>
  </si>
  <si>
    <t>4 to 6 A4 pages fully filled with text, IEEE Proceedings format</t>
  </si>
  <si>
    <t>https://elnano.ieee.org.ua/for-authors/</t>
  </si>
  <si>
    <t>ARCHIVED. Dates confirmed and the odd ordering is the organisers' own: paper submission was EXTENDED to 15.12.2025; reviewer response 01.02.2026; camera-ready papers 15.02.2026; FINAL acceptance notification 01.03.2026; final registration 05.03.2026. Camera-ready therefore precedes final acceptance because authors with positive reviews submit camera-ready first and acceptance is confirmed afterwards - not a transcription error. Event 27-30.04.2026, Igor Sikorsky KPI, Kyiv. ADDED the Microsoft CMT URL, the 4-6 page IEEE-format specification and the Scopus/WoS indexation detail. Fees confirmed: 240 EUR IEEE member, 290 EUR non-member, 145 EUR IEEE student, 190 EUR student non-member, VAT included. No contact e-mail published.</t>
  </si>
  <si>
    <t>ICon-MaSTEd</t>
  </si>
  <si>
    <t>XVIII</t>
  </si>
  <si>
    <t>XVIII International Conference on Mathematics, Science and Technology Education</t>
  </si>
  <si>
    <t>Journal of Physics: Conference Series</t>
  </si>
  <si>
    <t>Free for Ukrainian corresponding authors at Ukrainian institutions (waived by IOP); 95 GBP for international authors; audience free</t>
  </si>
  <si>
    <t>13–15 May 2026 (workshop day 13 May, main conference 14–15 May)</t>
  </si>
  <si>
    <t>Hybrid (remote participation via Zoom)</t>
  </si>
  <si>
    <t>Morressier (morressier.com/call-for-papers/68a727782047348dd5a2bec2)</t>
  </si>
  <si>
    <t>At least 6 pages, no stated maximum; double-blind review</t>
  </si>
  <si>
    <t>https://icon-masted.easyscience.education/2026/</t>
  </si>
  <si>
    <t>irina.mintiy@gmail.com, +380983516035 (Iryna Mintii); semerikov@gmail.com (Serhiy Semerikov)</t>
  </si>
  <si>
    <t>ARCHIVED, ALL DATES CONFIRMED: paper submission 10.01.2026, notification 21.03.2026, final submission 11.04.2026, registration 01.05.2026; workshop day 13.05.2026 and main conference 14-15.05.2026, Kryvyi Rih. Edition confirmed as XVIII by the site's own title and its history list (XVII was 2025). ADDED the hybrid/Zoom format, the Morressier submission URL, the 6-page minimum and two organiser contacts - all blank before. Fee confirmed: no fee for corresponding authors in Ukraine or at a Ukrainian institution and none for audience participants, 95 GBP otherwise. Published in the Journal of Physics: Conference Series (IOP Publishing). Note its co-located STE(A)M workshop page still calls this conference "XVII" - the conference's own title is authoritative.</t>
  </si>
  <si>
    <t>STE(A)M</t>
  </si>
  <si>
    <t>5th Yurii Ramskyi STE(A)M Workshop</t>
  </si>
  <si>
    <t>13 May 2026</t>
  </si>
  <si>
    <t>Ternopil, Ukraine</t>
  </si>
  <si>
    <t>Co-located with ICon-MaSTEd 2026 (which runs hybrid, remote participation via Zoom)</t>
  </si>
  <si>
    <t>HotCRP (notso.easyscience.education/stem/2026/)</t>
  </si>
  <si>
    <t>Full, original research papers of at least 6 pages, including surveys, tutorials and perspective/colloquia articles; peer-reviewed by two scholars, a third if needed (the publication section says three, a fourth if needed)</t>
  </si>
  <si>
    <t>https://stem.easyscience.education/2026/</t>
  </si>
  <si>
    <t>oleksyuk@fizmat.tnpu.edu.ua (Vasyl Oleksiuk, PC chair); tsidylo@tnpu.edu.ua, +380-67-281-8864 (Ivan Tsidylo)</t>
  </si>
  <si>
    <t>ARCHIVED. LOCATION CORRECTED from Kryvyi Rih to TERNOPIL - this was a real error. The workshop page header reads "May 13, 2026, Ternopil, Ukraine", ICon-MaSTEd's own co-located-workshop list says "5th Yurii Ramskyi STE(A)M Workshop (STEM@ICon-MaSTEd 2026) - Ternopil", and both programme-committee contacts sit at TNPU in Ternopil; only the parent conference is in Kryvyi Rih. Dates confirmed: submission 10.01.2026, notification 21.03.2026, final submission 11.04.2026, registration 01.05.2026, workshop 13.05.2026. ADDED the HotCRP URL, the 6-page minimum and both contacts. Accepted papers go to CEUR-WS. The page still describes the parent as the "XVII" conference, whereas ICon-MaSTEd 2026 is the XVIII edition. Honours the memory of Yurii S. Ramskyi (1942-2022).</t>
  </si>
  <si>
    <t>MS-AMLV</t>
  </si>
  <si>
    <t>7th Masters Symposium on Advances in Data Mining, Machine Learning, and Computer Vision</t>
  </si>
  <si>
    <t>Free (tracker figure, not re-verified)</t>
  </si>
  <si>
    <t>27–28 Mar 2026</t>
  </si>
  <si>
    <t>Lviv, Ukraine (Ukrainian Catholic University)</t>
  </si>
  <si>
    <t>EasyChair (PDF submissions; 3-5 freely chosen key phrases required)</t>
  </si>
  <si>
    <t>Not verified this pass; PDF via EasyChair, at least three and at most five key phrases</t>
  </si>
  <si>
    <t>https://apps.ucu.edu.ua/en/ms-amlv-2026/</t>
  </si>
  <si>
    <t>ARCHIVED and ONLY PARTLY VERIFIABLE: apps.ucu.edu.ua sits behind a Cloudflare bot check that will not serve the page, and the call-for-papers PDF returns HTTP 403. What could be confirmed from the public listing and the page title: 7th Masters Symposium, 27-28.03.2026, Lviv, Ukraine, submissions in PDF through EasyChair with 3-5 key phrases, accepted papers presented in person by the student author and published online in a proceedings volume after the symposium. The 30.01.2026 submission date is retained from the earlier pass and the notification, camera-ready and registration dates were never recorded - treat all of them as unconfirmed. The "Free" cost figure likewise comes from the tracker, not from the site.</t>
  </si>
  <si>
    <t>DSMIE</t>
  </si>
  <si>
    <t>9th International Conference on Design, Simulation, Manufacturing: The Innovation Exchange</t>
  </si>
  <si>
    <t>Springer Lecture Notes in Mechanical Engineering</t>
  </si>
  <si>
    <t>Registration in EUR. Early-bird (before 15.04.2026) / regular (16-30.04.2026) / late (from 01.05.2026): full delegate one paper 600 / 650 / n-a; full delegate two papers 750 / 800 / n-a; co-author 500 / 500 / n-a; student 500 / 500 / n-a; full delegate without publication 500 / 500 / 500; accompanying person 400 / 400 / 400. Includes publication of one or two papers, all sessions, e-access to the proceedings for 4 weeks, lunches and the gala dinner, plus IATDI membership; 40% discount on the printed Springer proceedings</t>
  </si>
  <si>
    <t>02–05 Jun 2026</t>
  </si>
  <si>
    <t>Rahat Palace Hotel, 29/6 Satpaev Str., Almaty, Kazakhstan</t>
  </si>
  <si>
    <t>In-person (conference bags only for in-person participants)</t>
  </si>
  <si>
    <t>EasyChair (easychair.org/conferences/?conf=dsmie2026)</t>
  </si>
  <si>
    <t>Camera-ready due 2 weeks after acceptance notification</t>
  </si>
  <si>
    <t>https://dsmie.sumdu.edu.ua/schedule/important-dates.html</t>
  </si>
  <si>
    <t>dsmie@teset.sumdu.edu.ua</t>
  </si>
  <si>
    <t>ARCHIVED, with two real corrections. CAMERA-READY ADDED as 31.03.2026: the Important Dates page only says "2 weeks after acceptance notification", but the home page prints the actual date. COST CORRECTED from "600 EUR (tracker figure; not restated on the current site)" - the Registration Fee page publishes the full three-tier table now recorded. Other dates confirmed: paper submission 31.01.2026, acceptance notification 15.03.2026, registration and fee payment 15.04.2026, conference 02-05.06.2026; all deadlines 23:59 Hawaii time. ADDED the venue (Rahat Palace Hotel, 29/6 Satpaev Str., Almaty), the EasyChair URL and the contact address. WORTH YOUR ATTENTION: the home page banner now advertises the next edition as "JUNE 8-11, 2027 | To be announced soon" with a countdown running to 07.06.2027, while the Important Dates block still shows the 2026 schedule - the series appears to have moved to June 2027. Hotel promo code DSMIE-2026 for bookings 25.05-10.06.</t>
  </si>
  <si>
    <t>SMARTINDUSTRY</t>
  </si>
  <si>
    <t>3rd International Conference on Smart Automation &amp; Robotics for Future Industry</t>
  </si>
  <si>
    <t>26–27 Mar 2026</t>
  </si>
  <si>
    <t>Site submission</t>
  </si>
  <si>
    <t>https://science.lpnu.ua/smartindustry-2026</t>
  </si>
  <si>
    <t>smartindustry.conference@gmail.com</t>
  </si>
  <si>
    <t>ARCHIVED, ALL DATES CONFIRMED verbatim on the LPNU dates block: 31.01.2026 23:59 paper submission, 09.03.2026 23:59 notification of acceptance, 16.03.2026 23:59 camera-ready, 26.03.2026 10:00 opening; conference 26-27.03.2026 at Lviv Polytechnic. REGISTRATION DEADLINE ADDED as 26.03.2026 - the site ties the participation registration form to the opening day. ADDED the contact address, recovered from the page's obfuscated e-mail link. Free. Papers also accepted by e-mail. No page limit published.</t>
  </si>
  <si>
    <t>CPITS</t>
  </si>
  <si>
    <t>Cybersecurity Providing in Information and Telecommunication Systems</t>
  </si>
  <si>
    <t>Scopus, DBLP</t>
  </si>
  <si>
    <t>28 Feb 2026</t>
  </si>
  <si>
    <t>Regular paper at least 10 CEUR-WS pages with an appropriate number of references; short paper 5-9 CEUR-WS pages including references; the CEURART one-column Word template is mandatory and other templates are rejected</t>
  </si>
  <si>
    <t>https://cpits.kubg.edu.ua/</t>
  </si>
  <si>
    <t>cpits@kubg.edu.ua</t>
  </si>
  <si>
    <t>ARCHIVED, ALL DATES CONFIRMED verbatim: "Paper submission deadline: February 7, 2026", "Notification of acceptance: February 14, 2026", "Camera-ready submission: February 21, 2026", "Workshop: February 28, 2026". "Registration fee: free" confirmed. ADDED the page limits, the mandatory CEURART one-column Word template and the contact address. The site keeps a full volume history, which fixes the series: Vol-3991 (28.02.2025), Vol-4145 (26.10.2025) and back to Vol-2746 (07.07.2020), each with URN, Scopus EID, DBLP key and TIB/NID identifiers. No registration deadline separate from the fee-free registration.</t>
  </si>
  <si>
    <t>IST</t>
  </si>
  <si>
    <t>3rd international scientific and practical conference «Information Systems and Technology: Results and Prospects»</t>
  </si>
  <si>
    <t>Free — "PARTICIPATION IN THE CONFERENCE IS FREE OF CHARGE"</t>
  </si>
  <si>
    <t>10 Mar 2026</t>
  </si>
  <si>
    <t>Faculty of Information Technology, Taras Shevchenko National University of Kyiv, Ukraine</t>
  </si>
  <si>
    <t>E-mail application</t>
  </si>
  <si>
    <t>https://ist.fit.knu.ua/scientificconference/konf2026</t>
  </si>
  <si>
    <t>istconference@fit.knu.ua; ist@fit.knu.ua; fit@knu.ua</t>
  </si>
  <si>
    <t>ARCHIVED. Dates confirmed verbatim: "Submission of applications and papers for publication: before March 5st, 2026" (the site's own typo for 5th) and "Work of the conference: March 10th, 2026". The 05.03.2026 date therefore serves as both the submission and the registration deadline, and no notification or camera-ready date was ever published - those cells are correctly empty. ADDED three contact addresses, which were blank. "PARTICIPATION IN THE CONFERENCE IS FREE OF CHARGE" confirmed. Faculty of Information Technology, Taras Shevchenko National University of Kyiv. 3rd edition. No page limit published.</t>
  </si>
  <si>
    <t>UNLP</t>
  </si>
  <si>
    <t>The Fifth Ukrainian Natural Language Processing Conference</t>
  </si>
  <si>
    <t>ACL Anthology</t>
  </si>
  <si>
    <t>29–30 May 2026</t>
  </si>
  <si>
    <t>Lviv, Ukraine (hosted by UCU Faculty of Applied Sciences)</t>
  </si>
  <si>
    <t>Softconf (softconf.com/p/unlp2026)</t>
  </si>
  <si>
    <t>ACL style template; dedicated Limitations and Ethical Considerations sections required</t>
  </si>
  <si>
    <t>https://unlp.org.ua/call-for-papers/</t>
  </si>
  <si>
    <t>ARCHIVED, ALL DATES CONFIRMED verbatim: "March 16 (11:59 PM UTC-12), 2026 - Paper submission deadline", "April 15, 2026 - Notification of acceptance", "April 26 (11:59 PM UTC-12), 2026 - Camera-ready papers due", "May 29-30, 2026 - Conference dates". THREE EARLIER MILESTONES now recorded: first call 02.11.2025, second call 15.12.2025, third call 30.01.2026. Deadlines are UTC-12, i.e. anywhere-on-earth. Hybrid, Lviv, with in-person and virtual presentation options. Free. Softconf submission. 5th edition. No registration deadline or contact address published.</t>
  </si>
  <si>
    <t>CMIS</t>
  </si>
  <si>
    <t>The Ninth International Workshop on Computer Modeling and Intelligent Systems</t>
  </si>
  <si>
    <t>CEUR Workshop Proceedings (ISSN 1613-0073), indexed by Scopus and DBLP; alternative route into the journal "Radio Electronics, Computer Science, Control" (Web of Science)</t>
  </si>
  <si>
    <t>05 May 2026</t>
  </si>
  <si>
    <t>National University "Zaporizhzhia Polytechnic", Universytetska str. 64, Zaporizhzhia 69011, Ukraine</t>
  </si>
  <si>
    <t>Google Form (forms.gle/bj8YaHBPoiJ3R8xPA)</t>
  </si>
  <si>
    <t>10-15 pages in the one-column CEUR format</t>
  </si>
  <si>
    <t>https://pz.zp.ua/cmis/</t>
  </si>
  <si>
    <t>subbotin@zp.edu.ua; subbotin.csit@gmail.com (Sergey Subbotin)</t>
  </si>
  <si>
    <t>ARCHIVED, ALL DATES CONFIRMED: paper submission 22.03.2026, acceptance notification 12.04.2026, camera-ready 26.04.2026, workshop 05.05.2026 at National University "Zaporizhzhia Polytechnic". ADDED the in-person format, the 10-15 page one-column CEUR specification, the Google Form submission URL and two contacts recovered from the page's obfuscated e-mail links; the indexing line now also names the Web of Science journal route ("Radio Electronics, Computer Science, Control"). Free. No registration deadline published. 9th edition.</t>
  </si>
  <si>
    <t>AISD</t>
  </si>
  <si>
    <t>The Third International Workshop of Young Scientists on Artificial Intelligence for Sustainable Development</t>
  </si>
  <si>
    <t>CEUR (2nd edition published as Vol-3974)</t>
  </si>
  <si>
    <t>07–08 May 2026</t>
  </si>
  <si>
    <t>West Ukrainian National University, Ternopil, Ukraine</t>
  </si>
  <si>
    <t>Springer LNCS template, 10–12 pages including references</t>
  </si>
  <si>
    <t>https://aisd.wunu.edu.ua/</t>
  </si>
  <si>
    <t>aisd_workshop@wunu.edu.ua</t>
  </si>
  <si>
    <t>ARCHIVED. Submission 27.03.2026, notification 17.04.2026 and camera-ready 30.04.2026 are retained from the earlier pass; the current page confirms the venue, the contact and the framing as the "2026 Conference of Young Scientists on Artificial Intelligence for Sustainable Development" but no longer shows the dates block. ADDED the contact address. West Ukrainian National University, Ternopil; event 07-08.05.2026; Microsoft CMT submission; CEUR proceedings. No fee or registration deadline published. 3rd edition.</t>
  </si>
  <si>
    <t>ITEP</t>
  </si>
  <si>
    <t>3rd International Conference on Information Technologies in the Environmental Protection</t>
  </si>
  <si>
    <t>Free — "Participation in the conference: free"</t>
  </si>
  <si>
    <t>14–15 May 2026</t>
  </si>
  <si>
    <t>Mixed</t>
  </si>
  <si>
    <t>https://science.lpnu.ua/itep-2026</t>
  </si>
  <si>
    <t>itep.conference@gmail.com</t>
  </si>
  <si>
    <t>ARCHIVED, ALL DATES CONFIRMED verbatim on the LPNU dates block: 01.05.2026 18:00 deadline for registration AND submission of materials, 08.05.2026 18:00 notification of acceptance, 10.05.2026 18:00 camera-ready; conference 14-15.05.2026 at Lviv Polytechnic. That single 01.05.2026 date is why the submission and registration columns match. ADDED the contact address, recovered from the page's obfuscated e-mail link. "Participation in the conference: free" confirmed. Mixed format. No page limit is published. 3rd edition.</t>
  </si>
  <si>
    <t>EXPLIMED</t>
  </si>
  <si>
    <t>EASi-EXPLIMED: Joint Workshop on Explainable AI in Space and Explainable AI for the Medical Domain</t>
  </si>
  <si>
    <t>Not published for the 2026 workshop</t>
  </si>
  <si>
    <t>15-17 Aug 2026 (inside IJCAI-ECAI 2026, 15-21 Aug)</t>
  </si>
  <si>
    <t>Bremen, Germany</t>
  </si>
  <si>
    <t>In-person (each accepted paper gets an oral or a poster slot)</t>
  </si>
  <si>
    <t>EasyChair</t>
  </si>
  <si>
    <t>Regular papers 10-20 pages, short/position/work-in-progress papers 5-9 pages; English, PDF only, double-blind and fully anonymised; CEUR one-column style, LaTeX template preferred, Word/LibreOffice acceptable with the Libertinus font</t>
  </si>
  <si>
    <t>https://sites.google.com/view/easi-explimed/</t>
  </si>
  <si>
    <t>ARCHIVED, with three corrections. SUBMISSION DEADLINE CORRECTED from 08.05.2026 to 15.05.2026 - the Important dates page shows "May 8, 2026 May 15, 2026", i.e. an extension (with a further extension to 01.06.2026 only for papers tied to the EASi AI Competition). ABSTRACT DEADLINE ADDED as 11.05.2026: a 100-300 word abstract with keywords and the author list was due "May 4 11 May, 2026" before the paper itself. EVENT DATES NARROWED from the whole IJCAI-ECAI window to 15-17.08.2026, the workshop's own days as printed in the mandatory CEUR footnote ("EXPLIMED 2026 - Third Workshop on Explainable Artificial Intelligence for the medical domain - 15-17 August 2026, Bremen, Germany"). Notification 08.06.2026 confirmed; camera-ready is still "To be announced". ADDED the in-person format, the EasyChair route and the full page limits. All dates are Anywhere on Earth. The co-hosted EASi half runs later: submission extended to 29.05.2026 and notification 12.06.2026. Workshop papers are reviewed separately from the main conference and do not appear in the IJCAI-ECAI proceedings. The 655 EUR cost figure is the parent conference's, not a workshop fee.</t>
  </si>
  <si>
    <t>Synergy in Terra</t>
  </si>
  <si>
    <t>International Conference “Synergy in Terra – 2026”</t>
  </si>
  <si>
    <t>Conference proceedings</t>
  </si>
  <si>
    <t>Ukrainian scientists: 1000 UAH onsite / 500 UAH online. Foreign scientists: 100 USD onsite / 50 USD online. Accommodation and meals not included</t>
  </si>
  <si>
    <t>12–13 Jun 2026</t>
  </si>
  <si>
    <t>Recreation complex "The Bay of Vikings", Stare Selo, Lviv region, Ukraine</t>
  </si>
  <si>
    <t>Hybrid (onsite and online)</t>
  </si>
  <si>
    <t>Abstract template (.docx) submission</t>
  </si>
  <si>
    <t>Extended abstracts</t>
  </si>
  <si>
    <t>https://science.lpnu.ua/synergy-terra</t>
  </si>
  <si>
    <t>Via Lviv Polytechnic National University (no e-mail published on the conference page)</t>
  </si>
  <si>
    <t>ARCHIVED, ALL DATES CONFIRMED verbatim on the LPNU dates block: 15.05.2026 08:00 deadline for extended-abstract submission, 12.06.2026 11:00 deadline for registration; conference 12-13.06.2026 at the recreation complex "The Bay of Vikings", Stare Selo, Lviv region. No notification and no camera-ready date were ever published, so those cells are correctly empty. Fees: Ukrainian scientists 1000 UAH on site / 500 UAH online, foreign participants as stated on the Conference Fees page. Hybrid. Abstracts go in as a .docx template.</t>
  </si>
  <si>
    <t>ICyberPhyS</t>
  </si>
  <si>
    <t>Intelligent &amp; CyberPhysical Systems</t>
  </si>
  <si>
    <t>Scopus &amp; DBLP (planned), ISSN 1613-0073</t>
  </si>
  <si>
    <t>02 Jul 2026</t>
  </si>
  <si>
    <t>Khmelnytskyi National University, Khmelnytskyi, Ukraine</t>
  </si>
  <si>
    <t>Short 5–9 or regular 10–20 pages, English, CEUR-ART one-column; signed author agreement required</t>
  </si>
  <si>
    <t>http://kiis.khmnu.edu.ua/icyberphys-2026/</t>
  </si>
  <si>
    <t>icyberphys@gmail.com; pavlovao@khmnu.edu.ua</t>
  </si>
  <si>
    <t>ARCHIVED, ALL DATES CONFIRMED verbatim: "Paper submission deadline: May 18, 2026 (the deadline is final, no extension of submission is planned)", "Notification of acceptance: June 18, 2026", "Camera-ready submission deadline: June 23, 2026", "Workshop period: July 2, 2026". ADDED both contact addresses, which were blank. "Participation and publication are free of charge" confirmed. Khmelnytskyi National University; CEUR proceedings. No registration deadline published.</t>
  </si>
  <si>
    <t>IntelITSIS</t>
  </si>
  <si>
    <t>7th International Workshop on Intelligent Information Technologies &amp; Systems of Information Security</t>
  </si>
  <si>
    <t>03 Jul 2026</t>
  </si>
  <si>
    <t>Regular papers only, 10–20 pages, English, CEUR-ART one-column template</t>
  </si>
  <si>
    <t>http://kiis.khmnu.edu.ua/intelitsis-2026/</t>
  </si>
  <si>
    <t>IntelITSIS@gmail.com; pavlovao@khmnu.edu.ua</t>
  </si>
  <si>
    <t>ARCHIVED, ALL DATES CONFIRMED verbatim: "Paper submission deadline: May 20, 2026 (the deadline is final, no extension of submission is planned)", "Notification of acceptance: June 20, 2026", "Camera-ready submission deadline: June 27, 2026", "Workshop period: July 3, 2026". ADDED both contact addresses, which were blank. "Participation and publication are free of charge" confirmed. Khmelnytskyi National University; CEUR proceedings. 7th edition. No registration deadline published.</t>
  </si>
  <si>
    <t>CH&amp;CMiGIN</t>
  </si>
  <si>
    <t>Fifth International Conference on Cyber Hygiene &amp; Conflict Management in Global Information Networks</t>
  </si>
  <si>
    <t>Free — "Participation in the conference is free of charge"</t>
  </si>
  <si>
    <t>25–27 Jun 2026</t>
  </si>
  <si>
    <t>Electronic submission</t>
  </si>
  <si>
    <t>English only; original unpublished work</t>
  </si>
  <si>
    <t>http://cyberconf.kai.edu.ua/</t>
  </si>
  <si>
    <t>Via the cyber-conference organising committee, Kharkiv Aviation Institute (no e-mail published on the page)</t>
  </si>
  <si>
    <t>ARCHIVED, ALL DATES CONFIRMED verbatim: "Paper submission deadline: before June 8, 2026", "Notification of acceptance: on June 15, 2026", "Camera-ready submission deadline: before June 20, 2026", "Conference period: June 25 - 27, 2026". "Participation in the conference is free of charge" confirmed. Hybrid; University of the National Education Commission, Krakow. 5th edition. No registration deadline or contact e-mail is published.</t>
  </si>
  <si>
    <t>ProfIT AI</t>
  </si>
  <si>
    <t>6th International Conference of IT Professionals on Artificial Intelligence</t>
  </si>
  <si>
    <t>Springer Communications in Computer and Information Science</t>
  </si>
  <si>
    <t>15–17 Jul 2026</t>
  </si>
  <si>
    <t>Coventry, UK &amp; Kharkiv, Ukraine</t>
  </si>
  <si>
    <t>Online from Coventry</t>
  </si>
  <si>
    <t>Regular 10–15 pp. or short 6–9 pp., English</t>
  </si>
  <si>
    <t>https://khai.edu/en/international-workshop-of-it-professionals-on-artificial-intelligence-profit-ai</t>
  </si>
  <si>
    <t>Via the National Aerospace University "KhAI" organising committee (no e-mail published on the page)</t>
  </si>
  <si>
    <t>ARCHIVED, ALL DATES CONFIRMED, and the extension is visible on the page: "01.06.2026 25.06.2026 Paper submission deadline" - i.e. extended from 01.06 to 25.06.2026 - then "01.07.2026 Notification of acceptance" and "10.07.2026 Camera ready submission deadline"; event 15-17.07.2026. "Participation in the conference is free of charge" confirmed. Online from Coventry, UK, with Kharkiv, Ukraine. 6th edition. No registration deadline or contact e-mail published.</t>
  </si>
  <si>
    <t>AI@DTESI</t>
  </si>
  <si>
    <t>Workshop on Artificial Intelligence (at DTESI)</t>
  </si>
  <si>
    <t>CEUR Vol-4224 (ISSN 1613-0073, URN urn:nbn:de:0074-4224-x); 35 submissions, 23 papers published (18 regular, 5 short)</t>
  </si>
  <si>
    <t>International Information Technology University, Almaty, Kazakhstan</t>
  </si>
  <si>
    <t>On-site (inside DTESI 2025, Almaty)</t>
  </si>
  <si>
    <t>Not stated - the source is a published CEUR volume, which carries no author guidelines (CEUR house style is CEURART one-column)</t>
  </si>
  <si>
    <t>https://ceur-ws.org/Vol-4224/</t>
  </si>
  <si>
    <t>CEUR volume</t>
  </si>
  <si>
    <t>Volume editors Kateryna Kolesnikova and Madina Ipalakova, International Information Technology University, Almaty, Kazakhstan</t>
  </si>
  <si>
    <t>ARCHIVED, VOLUME RE-READ. Vol-4224 states verbatim: "Proceedings of the Workshop on Artificial Intelligence 2025", "co-located with 10th International Conference on Digital Technologies in Education, Science and Industry (DTESI 2025)", "Almaty, Kazakhstan, November 19-20, 2025", edited by Kateryna Kolesnikova and Madina Ipalakova; published on CEUR-WS 16.07.2026. Event dates confirmed. This volume plus Vol-4180, Vol-4193 and Vol-4204 are the evidence that DTESI 2025 (the 10th edition) took place on 19-20.11.2025. No submission, notification, camera-ready or registration date is recoverable from a published volume, and no fee was published.</t>
  </si>
  <si>
    <t>AIT</t>
  </si>
  <si>
    <t>International Workshop on Application of Immersive Technology</t>
  </si>
  <si>
    <t>CEUR Vol-4014 (ISSN 1613-0073, URN urn:nbn:de:0074-4014-X); 13 papers published (4 regular, 9 short)</t>
  </si>
  <si>
    <t>05 Mar 2025</t>
  </si>
  <si>
    <t>https://ceur-ws.org/Vol-4014/</t>
  </si>
  <si>
    <t>Volume editor Kateryna Kolesnikova, International Information Technology University, Almaty, Kazakhstan</t>
  </si>
  <si>
    <t>ARCHIVED, VOLUME RE-READ. Vol-4014 states verbatim: "Proceedings of the 1st International Workshop on Application of Immersive Technology (AIT 2025)", "Almaty, Kazakhstan, March 5, 2025", edited by Kateryna Kolesnikova; published on CEUR-WS 25.08.2025; 13 papers (4 regular, 9 short). Event date and the 1st-edition label confirmed. No parent conference is named in the volume, so this is a standalone workshop. No deadlines or fee are recoverable from a published volume.</t>
  </si>
  <si>
    <t>AIT&amp;AIS</t>
  </si>
  <si>
    <t>International Scientific Workshop on Applied Information Technologies and Artificial Intelligence Systems</t>
  </si>
  <si>
    <t>CEUR Vol-4160 (ISSN 1613-0073, URN urn:nbn:de:0074-4160-x)</t>
  </si>
  <si>
    <t>18–19 Dec 2025</t>
  </si>
  <si>
    <t>Hybrid (on-site plus an online video platform)</t>
  </si>
  <si>
    <t>https://kkn.chnu.edu.ua/en/aitais/</t>
  </si>
  <si>
    <t>kkn@chnu.edu.ua; volume editors Harrison Hao Yang, Christopher Kumar Anand and others</t>
  </si>
  <si>
    <t>ARCHIVED, VOLUME RE-READ. Vol-4160 states verbatim: "Proceedings of the International Scientific Workshop on Applied Information Technologies and Artificial Intelligence Systems (AIT&amp;AIS 2025)", "Chernivtsi, Ukraine, December 18-19, 2025", edited by Harrison Hao Yang, Christopher Kumar Anand and others. Event dates and the 17.11.2025 registration deadline both stand. ADDED the department contact kkn@chnu.edu.ua from the host site. Hybrid, Yuriy Fedkovych Chernivtsi National University. No submission, notification or camera-ready date is published, and no fee.</t>
  </si>
  <si>
    <t>CISN</t>
  </si>
  <si>
    <t>Workshop on Cybersecurity, Infocommunication Systems and Networks (at DTESI)</t>
  </si>
  <si>
    <t>CEUR Vol-4180 (ISSN 1613-0073, URN urn:nbn:de:0074-4180-x); 13 of 23 submissions published</t>
  </si>
  <si>
    <t>https://ceur-ws.org/Vol-4180/</t>
  </si>
  <si>
    <t>ARCHIVED, VOLUME RE-READ. Vol-4180 states verbatim: "Proceedings of the Workshop on Cybersecurity, Infocommunication Systems and Networks 2025", "Almaty, Kazakhstan, November 19-20, 2025", edited by Kateryna Kolesnikova and Madina Ipalakova; published on CEUR-WS 10.03.2026; 13 of 23 peer-reviewed submissions accepted. Event dates confirmed. Held inside DTESI 2025. No deadlines or fee are recoverable from a published volume.</t>
  </si>
  <si>
    <t>CLW-CoLInS</t>
  </si>
  <si>
    <t>Computational Linguistics Workshop at CoLInS</t>
  </si>
  <si>
    <t>CEUR Vol-3976 (ISSN 1613-0073, URN urn:nbn:de:0074-3976-X); 16 of 36 submissions published</t>
  </si>
  <si>
    <t>15–16 May 2025</t>
  </si>
  <si>
    <t>Kharkiv, Ukraine</t>
  </si>
  <si>
    <t>On-site (inside CoLInS 2025, Kharkiv)</t>
  </si>
  <si>
    <t>https://ceur-ws.org/Vol-3976/</t>
  </si>
  <si>
    <t>Volume editors Nina Khairova, Victoria Vysotska, Natalia Grabar, Thierry Hamon and Nina Rizun</t>
  </si>
  <si>
    <t>ARCHIVED, VOLUME RE-READ. Vol-3976 states verbatim: "Proceedings of the Computational Linguistics Workshop (CLW-CoLInS 2025) at the 9th International Conference on Computational Linguistics and Intelligent Systems (CoLInS 2025)", "Kharkiv, Ukraine, May 15-16, 2025", edited by Nina Khairova, Victoria Vysotska, Natalia Grabar, Thierry Hamon and Nina Rizun; published on CEUR-WS 13.06.2025; 16 regular papers accepted from 36 submissions. Event dates confirmed. No deadlines or fee are recoverable from a published volume.</t>
  </si>
  <si>
    <t>CoLInS</t>
  </si>
  <si>
    <t>10th</t>
  </si>
  <si>
    <t>10th International Conference on Computational Linguistics and Intelligent Systems</t>
  </si>
  <si>
    <t>Postponed indefinitely</t>
  </si>
  <si>
    <t>http://colins.in.ua/</t>
  </si>
  <si>
    <t>vasyl.v.lytvyn@lpnu.ua; nvsharonova@ukr.net; eugeniokuprianov@gmail.com</t>
  </si>
  <si>
    <t>POSTPONED INDEFINITELY - re-confirmed 04.09.2026. colins.in.ua still shows the "Submission date:" and "Acceptance notification:" labels with no values behind them, and no venue, so the 10th edition has no announced dates. ADDED the three organiser contacts, which were blank. The 9th edition ran in Kharkiv on 15-16.05.2025 and produced three CEUR volumes (Vol-3976 CLW, Vol-3983 ISW, Vol-4015 AICS), so the series itself is alive; watch the site for a 2027 call.</t>
  </si>
  <si>
    <t>CPITS-II</t>
  </si>
  <si>
    <t>Cybersecurity Providing in Information and Telecommunication Systems II</t>
  </si>
  <si>
    <t>Scopus (EID 2-s2.0-105037957767), DBLP (conf/cpits/cpits2025-2), TIB 1915196752; CEUR Vol-4145 published 26.10.2025 (URN urn:nbn:de:0074-4145-X); series back to Vol-2746</t>
  </si>
  <si>
    <t>26 Oct 2025 (online)</t>
  </si>
  <si>
    <t>ARCHIVED, RE-CONFIRMED. The host site's volume history pins this edition exactly: "CEUR-WS Vol. 4145, October 26, 2025 (URN: urn:nbn:de:0074-4145-X, EID: 2-s2.0-105037957767, DBLP: conf/cpits/cpits2025-2, TIB: 1915196752)", which matches the recorded 26.10.2025 online workshop day; the spring edition of the same year is Vol-3991 of 28.02.2025. ADDED the Scopus/DBLP identifiers, the page limits, the mandatory CEURART one-column Word template and the contact address. "Registration fee: free" confirmed. The site now leads with CPITS 2026 (07.02 / 14.02 / 21.02, workshop 28.02.2026), tracked separately.</t>
  </si>
  <si>
    <t>CQPC</t>
  </si>
  <si>
    <t>Workshop on Classic, Quantum, and Post-Quantum Cryptography (at PICST)</t>
  </si>
  <si>
    <t>CEUR Vol-4016 (ISSN 1613-0073, URN urn:nbn:de:0074-4016-X); 6 of 11 submissions published (5 regular, 1 short)</t>
  </si>
  <si>
    <t>05 Aug 2025</t>
  </si>
  <si>
    <t>On-site (inside PICST 2025, Kyiv)</t>
  </si>
  <si>
    <t>https://ceur-ws.org/Vol-4016/</t>
  </si>
  <si>
    <t>Volume editors Volodymyr Sokolov (Borys Grinchenko Kyiv Metropolitan University), Vasyl Ustimenko (Royal Holloway, University of London) and Mariya Nazarkevych (Lviv Polytechnic National University)</t>
  </si>
  <si>
    <t>ARCHIVED, VOLUME RE-READ. Vol-4016 states verbatim: "Proceedings of the Workshop Classic, Quantum, and Post-Quantum Cryptography", "co-located with International Conference on Problems of Infocommunications. Science and Technology (PICST 2025)", "Kyiv, Ukraine, August 5, 2025", edited by Volodymyr Sokolov, Vasyl Ustimenko and Mariya Nazarkevych; published on CEUR-WS 26.08.2025; 6 papers (5 regular, 1 short). Event date confirmed and the parent conference identified as PICST 2025. No deadlines or fee are recoverable from a published volume.</t>
  </si>
  <si>
    <t>CTE</t>
  </si>
  <si>
    <t>12th</t>
  </si>
  <si>
    <t>Workshop on Cloud Technologies in Education (at ICHTML)</t>
  </si>
  <si>
    <t>CEUR Vol-4043 (ISSN 1613-0073, URN urn:nbn:de:0074-4043-X); 17 papers published (15 regular, 2 short)</t>
  </si>
  <si>
    <t>12 May 2025</t>
  </si>
  <si>
    <t>On-site (inside ICHTML 2025, Kryvyi Rih)</t>
  </si>
  <si>
    <t>https://ceur-ws.org/Vol-4043/</t>
  </si>
  <si>
    <t>Volume editors Serhiy O. Semerikov, Andrii M. Striuk, Olha P. Pinchuk and Tetiana A. Vakaliuk</t>
  </si>
  <si>
    <t>ARCHIVED, VOLUME RE-READ, WITH A LABEL DISCREPANCY WORTH KNOWING. Vol-4043 is titled "Proceedings of the 12th Workshop on Cloud Technologies in Education (CTE 2024)" and its acronym line reads "CTE 2024" / "Cloud Technologies in Education 2024" - yet the same volume gives the event as "Kryvyi Rih, Ukraine, May 12, 2025", co-located with the 6th International Conference on History, Theory and Methodology of Learning (ICHTML 2025). So the workshop carries the 2024 label but ran on 12.05.2025; the Year column here holds the year it was held. Edited by Semerikov, Striuk, Pinchuk and Vakaliuk; published on CEUR-WS 25.09.2025; 17 papers (15 regular, 2 short). No deadlines or fee are recoverable from a published volume.</t>
  </si>
  <si>
    <t>DTESI</t>
  </si>
  <si>
    <t>International Conference on Digital Technologies in Education, Science and Industry</t>
  </si>
  <si>
    <t>CEUR; the 9th edition (DTESI 2024) is Vol-3966; NO main volume for the 10th/2025 edition has appeared - its four co-located workshop volumes are Vol-4224, Vol-4180, Vol-4193 and Vol-4204</t>
  </si>
  <si>
    <t>https://ceur-ws.org/Vol-3966/</t>
  </si>
  <si>
    <t>Volume editors Assylbek Issakhov, Kateryna Kolesnikova and others, International Information Technology University, Almaty, Kazakhstan</t>
  </si>
  <si>
    <t>CORRECTED - THE RECORDED URL POINTS AT THE WRONG VOLUME. https://ceur-ws.org/Vol-3966/ is "Proceedings of the 9th International Conference on Digital Technologies in Education, Science and Industry 2024 (DTESI 2024), Almaty, Kazakhstan, October 16-17, 2024", edited by Assylbek Issakhov, Kateryna Kolesnikova and others - it is the 2024 edition, not 2025. A sweep of the whole CEUR index confirms the series stops at Vol-3966: earlier editions are Vol-3680 (DTESI 2023, Almaty, 06-07.12.2023) and Vol-3382 (DTESI 2022, Almaty, 20-21.10.2022), and there is NO published main volume for DTESI 2025. The 10th edition on 19-20.11.2025 in Almaty is nonetheless real: it is attested by its four co-located workshop volumes, Vol-4224 (AI), Vol-4180 (CISN), Vol-4193 (SNE) and Vol-4204 (STIoT), which all name "10th International Conference on Digital Technologies in Education, Science and Industry (DTESI 2025)" as their parent. The row therefore keeps the 2025 edition and its dates, but replace the URL with the 2025 main volume once CEUR publishes it. No deadlines or fee are recoverable.</t>
  </si>
  <si>
    <t>HCI-SI</t>
  </si>
  <si>
    <t>10th Human-Computer Interaction Slovenia</t>
  </si>
  <si>
    <t>Proceedings DOI 10.26493/978-961-293-559-7</t>
  </si>
  <si>
    <t>Free to attend (participants cover their own travel)</t>
  </si>
  <si>
    <t>13 Oct 2025</t>
  </si>
  <si>
    <t>FAMNIT, University of Primorska, Koper, Slovenia</t>
  </si>
  <si>
    <t>E-mail submission; attendance registration through a Google Form (forms.gle/GQaMUkYHEPpXyFaFA)</t>
  </si>
  <si>
    <t>https://hci.si/</t>
  </si>
  <si>
    <t>Organising committee via hci.si (Matjaz Kljun, Ciril Bohak, Nilukshan Krishnaram)</t>
  </si>
  <si>
    <t>ARCHIVED. TWO DATES ADDED that were blank, and both were extended by the organisers: "Submission deadline: 25 September 2025 1 October 2025" and "Notification to authors: 2 October 2025 3 October 2025" - the later date in each pair is the one that applied. Conference date confirmed: "Monday, 13 October 2025", at FAMNIT, University of Primorska, Koper, Slovenia. "The conference is free to attend. Attendees cover their own expenses to reach the venue"; registration was nonetheless required through a Google Form. 10th edition. Proceedings DOI 10.26493/978-961-293-559-7. No camera-ready date or page limit published.</t>
  </si>
  <si>
    <t>ISW-CoLInS</t>
  </si>
  <si>
    <t>Intelligent Systems Workshop at CoLInS</t>
  </si>
  <si>
    <t>CEUR Vol-3983 (ISSN 1613-0073, URN urn:nbn:de:0074-3983-X)</t>
  </si>
  <si>
    <t>https://ceur-ws.org/Vol-3983/</t>
  </si>
  <si>
    <t>Volume editors Olga Cherednichenko, Vasyl Lytvyn and others</t>
  </si>
  <si>
    <t>ACRONYM CORRECTED from IS-CoLInS to ISW-CoLInS, which is the acronym the volume itself uses. Vol-3983 states verbatim: "ISW-CoLInS 2025", "Intelligent Systems Workshop at CoLInS 2025", "Proceedings of the Intelligent Systems Workshop at 9th International Conference on Computational Linguistics and Intelligent Systems (CoLInS-2025)", "Kharkiv, Ukraine, May 15-16, 2025", edited by Olga Cherednichenko, Vasyl Lytvyn and others. Event dates confirmed. No deadlines or fee are recoverable from a published volume.</t>
  </si>
  <si>
    <t>IT&amp;I-WS: AITDS</t>
  </si>
  <si>
    <t>IT&amp;I Workshop: Artificial Intelligence Technologies and Data Science</t>
  </si>
  <si>
    <t>CEUR Vol-4158 (ISSN 1613-0073, URN urn:nbn:de:0074-4158-x); 26 papers submitted</t>
  </si>
  <si>
    <t>20–21 Nov 2025</t>
  </si>
  <si>
    <t>Taras Shevchenko National University of Kyiv, Ukraine</t>
  </si>
  <si>
    <t>http://iti.fit.univ.kiev.ua/en/workshops/</t>
  </si>
  <si>
    <t>iti.fit@knu.ua; +380 44 4814407 (Faculty of Information Technology, Taras Shevchenko NU of Kyiv)</t>
  </si>
  <si>
    <t>ARCHIVED, VOLUME RE-READ. Vol-4158 states verbatim: "Proceedings of the Information Technology and Implementation (IT&amp;I) Workshop: Artificial Intelligence Technologies and Data Science (IT&amp;I-WS: AITDS 2025), Kyiv, Ukraine, November 20 - 21, 2025", edited by Vitaliy Snytyuk, Lyudmyla Kirichenko, Oksana Mulesa and Serhii Lupenko; published on CEUR-WS 07.02.2026. Event dates confirmed. ADDED the conference contact block. NOTE the recorded /en/workshops/ page currently reads only "Will be soon..." - it carries no workshop details at all, so the volume is the only usable source for this row.</t>
  </si>
  <si>
    <t>IT&amp;I-WS: ISICP</t>
  </si>
  <si>
    <t>IT&amp;I Workshop: Information Systems And Intelligent Cyber Protection</t>
  </si>
  <si>
    <t>CEUR Vol-4170 (ISSN 1613-0073, URN urn:nbn:de:0074-4170-x); 27 papers submitted</t>
  </si>
  <si>
    <t>ARCHIVED, VOLUME RE-READ. Vol-4170 states verbatim: "Proceedings of the Information Technology and Implementation (IT&amp;I) Workshop: Information Systems And Intelligent Cyber Protection (IT&amp;I-WS: ISICP 2025), Kyiv, Ukraine, November 20 - 21, 2025", edited by Serhii Toliupa, Dmytro Lande, Iurii Krak and Sergiy Yakovlev; published on CEUR-WS 20.02.2026. Event dates confirmed. ADDED the conference contact block. NOTE the recorded /en/workshops/ page currently reads only "Will be soon...".</t>
  </si>
  <si>
    <t>IT&amp;I-WS: ITIAS</t>
  </si>
  <si>
    <t>IT&amp;I Workshop: IT Infrastructure and Applied Solutions</t>
  </si>
  <si>
    <t>CEUR Vol-3955 (ISSN 1613-0073, URN urn:nbn:de:0074-3955-X); series lineage back to Vol-2833</t>
  </si>
  <si>
    <t>20–21 Nov 2024</t>
  </si>
  <si>
    <t>ARCHIVED, VOLUME RE-READ, AND ONE VOLUME NUMBER REMOVED. Vol-3955 states verbatim: "Proceedings of the Information Technology and Implementation (IT&amp;I) Workshop: IT Infrastructure and Applied Solutions (IT&amp;I-WS 2024: ITIAS), Kyiv, Ukraine, November 20 - 21, 2024", edited by Vitaliy Snytyuk, Lyudmyla Kirichenko, Oksana Mulesa and Serhii Lupenko. The indexing cell previously listed Vol-3933 alongside it, but Vol-3933 is a DIFFERENT workshop from the same conference - "Intelligent Systems and Security 2024 (IT&amp;I-WS 2024: ISS)" - and appears on Vol-3955 only as a "see also" series pointer. The IT&amp;I 2024 main conference proceedings are Vol-3909 ("Selected Papers of the XI International Scientific Conference Information Technology and Implementation (IT&amp;I 2024), Kyiv, Ukraine, November 20-21, 2024"). Event dates confirmed. ADDED the conference contact block.</t>
  </si>
  <si>
    <t>ITPM</t>
  </si>
  <si>
    <t>International Workshop on IT Project Management</t>
  </si>
  <si>
    <t>CEUR Vol-4023 (ISSN 1613-0073, URN urn:nbn:de:0074-4023-X); 33 papers submitted</t>
  </si>
  <si>
    <t>22 May 2025</t>
  </si>
  <si>
    <t>https://ceur-ws.org/Vol-4023/</t>
  </si>
  <si>
    <t>Volume editors Sergey Bushuyev (Ukrainian Project Management Association), Nataliia Kunanets, Volodymyr Pasichnyk and Nataliia Veretennikova (Lviv Polytechnic National University)</t>
  </si>
  <si>
    <t>ARCHIVED, VOLUME RE-READ. Vol-4023 states verbatim: "Proceedings of the 6th International Workshop IT Project Management (ITPM 2025), Kyiv, Ukraine, May 22, 2025", edited by Sergey Bushuyev, Nataliia Kunanets, Volodymyr Pasichnyk and Nataliia Veretennikova. Event date and the 6th-edition label confirmed; no parent conference is named. No deadlines or fee are recoverable from a published volume.</t>
  </si>
  <si>
    <t>ITS</t>
  </si>
  <si>
    <t>XXV</t>
  </si>
  <si>
    <t>XXV International Scientific and Practical Conference “Information Technologies and Security”</t>
  </si>
  <si>
    <t>CEUR-WS (selected papers); the most recent published volume is Vol-4068 = ITS 2024, the XXIV conference, Kyiv, 19.12.2024 - no XXV/2025 volume has appeared yet</t>
  </si>
  <si>
    <t>11 Dec 2025</t>
  </si>
  <si>
    <t>Institute for Information Recording, NAS of Ukraine, 2 M. Shpak str., Kyiv, Ukraine</t>
  </si>
  <si>
    <t>Two parallel sessions plus workshops</t>
  </si>
  <si>
    <t>https://its.ipri.kiev.ua/</t>
  </si>
  <si>
    <t>Institute for Information Recording, NAS of Ukraine (no e-mail published on the conference page)</t>
  </si>
  <si>
    <t>ARCHIVED. Event date re-confirmed on the conference site: "11 December 2025", with participants' registration and two parallel sessions, and the site now reads "Registration Closed!". No submission, notification, camera-ready or registration deadline was ever published, and no fee. INDEXING made precise: the latest ITS volume on CEUR is Vol-4068, "Selected Papers of the XXIV International Scientific and Practical Conference Information Technologies and Security (ITS 2024), Kyiv, Ukraine, December 19, 2024", edited by Oleksandr Dodonov and others; the XXV/2025 volume has not been published, so its indexing is expected rather than confirmed.</t>
  </si>
  <si>
    <t>IWSCI</t>
  </si>
  <si>
    <t>International Workshop on Computational Intelligence (at IntSol)</t>
  </si>
  <si>
    <t>CEUR Vol-4035 (ISSN 1613-0073, URN urn:nbn:de:0074-4035-X)</t>
  </si>
  <si>
    <t>Kyiv–Uzhhorod, Ukraine</t>
  </si>
  <si>
    <t>On-site (inside IntSol 2025, Kyiv-Uzhhorod)</t>
  </si>
  <si>
    <t>https://ceur-ws.org/Vol-4035/</t>
  </si>
  <si>
    <t>Volume editors as listed in CEUR Vol-4035</t>
  </si>
  <si>
    <t>ARCHIVED, VOLUME RE-READ. Vol-4035 states verbatim: "Proceedings of the International Workshop on Computational Intelligence (IWSCI 2025)", "co-located with the IV International Scientific Symposium 'Intelligent Solutions' (IntSol 2025)", "Kyiv-Uzhhorod, Ukraine, May 01-05, 2025". Event dates confirmed, and this also fixes the parent symposium as the IV edition. No deadlines or fee are recoverable from a published volume.</t>
  </si>
  <si>
    <t>MoDaST</t>
  </si>
  <si>
    <t>Modern Data Science Technologies Doctoral Consortium</t>
  </si>
  <si>
    <t>CEUR Vol-4005 (ISSN 1613-0073, URN urn:nbn:de:0074-4005-X)</t>
  </si>
  <si>
    <t>15–16 Jun 2025</t>
  </si>
  <si>
    <t>https://ceur-ws.org/Vol-4005/</t>
  </si>
  <si>
    <t>Volume editors Vasyl Lytvyn (Lviv Polytechnic National University), Agnieszka Kowalska-Styczen and Lyubomyr Chyrun</t>
  </si>
  <si>
    <t>ARCHIVED, VOLUME RE-READ. Vol-4005 states verbatim: "Proceedings of the Modern Data Science Technologies Doctoral Consortium (MoDaST 2025)", "Lviv, Ukraine, June 15-16, 2025", edited by Vasyl Lytvyn, Agnieszka Kowalska-Styczen and Lyubomyr Chyrun. Event dates confirmed; the volume names no parent conference, though it runs in the same Lviv week as MoMLeT 2025 (14-15.06.2025, Vol-4004). No deadlines or fee are recoverable from a published volume.</t>
  </si>
  <si>
    <t>MoMLeT-WS</t>
  </si>
  <si>
    <t>Modern Machine Learning Technologies Workshop</t>
  </si>
  <si>
    <t>CEUR Vol-4004 (ISSN 1613-0073, URN urn:nbn:de:0074-4004-X); 60 papers submitted</t>
  </si>
  <si>
    <t>14–15 Jun 2025</t>
  </si>
  <si>
    <t>https://ceur-ws.org/Vol-4004/</t>
  </si>
  <si>
    <t>Volume editors Michael Emmerich (Leiden Institute of Advanced Computer Science), Vasyl Lytvyn and Victoria Vysotska</t>
  </si>
  <si>
    <t>ARCHIVED, VOLUME RE-READ. Vol-4004 states verbatim: "Proceedings of the Modern Machine Learning Technologies Workshop (MoMLeT 2025)", "Lviv, Ukraine, June 14-15, 2025", edited by Michael Emmerich, Vasyl Lytvyn and Victoria Vysotska. Event dates confirmed; the volume names no parent conference. No deadlines or fee are recoverable from a published volume. The 2027 edition is tracked separately and is expected online via Zoom.</t>
  </si>
  <si>
    <t>AICS-CoLInS</t>
  </si>
  <si>
    <t>PhD Workshop on Artificial Intelligence in Computer Science at CoLInS</t>
  </si>
  <si>
    <t>CEUR Vol-4015 (ISSN 1613-0073, URN urn:nbn:de:0074-4015-X)</t>
  </si>
  <si>
    <t>https://ceur-ws.org/Vol-4015/</t>
  </si>
  <si>
    <t>Volume editors Olga Cherednichenko, Nina Khairova, Lyubomyr Chyrun, Vasyl Lytvyn and Yevgeniy Bodyanskiy</t>
  </si>
  <si>
    <t>ACRONYM CORRECTED from PhD-AI-CoLInS to AICS-CoLInS, which is the acronym the volume itself uses. Vol-4015 states verbatim: "AICS-CoLInS 2025", "PhD Workshop on Artificial Intelligence in Computer Science at CoLInS 2025", "Proceedings of the PhD Workshop on Artificial Intelligence in Computer Science at 9th International Conference on Computational Linguistics and Intelligent Systems (CoLInS-2025)", "Kharkiv, Ukraine, May 15-16, 2025", edited by Olga Cherednichenko (Bratislava University of Economics and Management), Nina Khairova (Umea University), Lyubomyr Chyrun (Ivan Franko NU of Lviv), Vasyl Lytvyn (Lviv Polytechnic) and Yevgeniy Bodyanskiy (Kharkiv NU of Radio Electronics). Event dates confirmed.</t>
  </si>
  <si>
    <t>RS</t>
  </si>
  <si>
    <t>Workshop on Resilient Systems: Secure Digital Technologies and Critical Infrastructure</t>
  </si>
  <si>
    <t>CEUR Vol-4225 (ISSN 1613-0073, URN urn:nbn:de:0074-4225-x)</t>
  </si>
  <si>
    <t>30 Jun 2026</t>
  </si>
  <si>
    <t>Drohobych, Ukraine</t>
  </si>
  <si>
    <t>https://ceur-ws.org/Vol-4225/</t>
  </si>
  <si>
    <t>Volume editors as listed in CEUR Vol-4225</t>
  </si>
  <si>
    <t>ARCHIVED, VOLUME RE-READ. Vol-4225 states verbatim: "Proceedings of the Workshop on Resilient Systems: Secure Digital Technologies and Critical Infrastructure (RS 2026)", "Drohobych, Ukraine, June 30, 2026". Event date confirmed; the volume names no parent conference. No deadlines or fee are recoverable from a published volume.</t>
  </si>
  <si>
    <t>SNE</t>
  </si>
  <si>
    <t>Workshop on Software and Knowledge Engineering (at DTESI)</t>
  </si>
  <si>
    <t>CEUR Vol-4193 (ISSN 1613-0073, URN urn:nbn:de:0074-4193-x); 20 papers submitted</t>
  </si>
  <si>
    <t>https://ceur-ws.org/Vol-4193/</t>
  </si>
  <si>
    <t>ACRONYM CORRECTED from SKE to SNE, which is the acronym printed in the volume itself. Vol-4193 reads "SNE 2025", "Workshop on Software and Knowledge Engineering 2025", "Proceedings of the Workshop on Software and Knowledge Engineering 2025", "Almaty, Kazakhstan, November 19-20, 2025", edited by Kateryna Kolesnikova and Madina Ipalakova. Event dates confirmed. Held inside DTESI 2025. No deadlines or fee are recoverable from a published volume.</t>
  </si>
  <si>
    <t>SPICIT</t>
  </si>
  <si>
    <t>Workshop on Scientific and Practical Issues of Cybersecurity and Information Technology (at ISecIT)</t>
  </si>
  <si>
    <t>CEUR Vol-4150 (ISSN 1613-0073, URN urn:nbn:de:0074-4150-x); 25 papers submitted</t>
  </si>
  <si>
    <t>09–11 Jun 2025</t>
  </si>
  <si>
    <t>Lutsk, Ukraine</t>
  </si>
  <si>
    <t>On-site (inside ISecIT 2025, Lutsk)</t>
  </si>
  <si>
    <t>https://ceur-ws.org/Vol-4150/</t>
  </si>
  <si>
    <t>Volume editors Mikolaj Karpinski (University of the National Education Commission, Poland), Piotr Milczarski (University of Lodz), Mariia Nazarkevych and Ivan Opirskyy (Lviv Polytechnic), Oleksii Smirnov (Central Ukrainian NTU)</t>
  </si>
  <si>
    <t>ARCHIVED, VOLUME RE-READ. Vol-4150 states verbatim: "PROCEEDINGS of the Workshop on Scientific and Practical Issues of Cybersecurity and Information Technology, V INTERNATIONAL SCIENTIFIC AND PRACTICAL CONFERENCE Information security and information technology (ISecIT 2025)", "Lutsk, Ukraine, June 9-11, 2025", edited by Mikolaj Karpinski, Piotr Milczarski, Mariia Nazarkevych, Oleksii Smirnov and Ivan Opirskyy. Event dates confirmed and the parent conference identified as ISecIT 2025, its V edition. No deadlines or fee are recoverable from a published volume.</t>
  </si>
  <si>
    <t>STIoT</t>
  </si>
  <si>
    <t>Workshop on Smart Technologies and IoT (at DTESI)</t>
  </si>
  <si>
    <t>CEUR Vol-4204 (ISSN 1613-0073, URN urn:nbn:de:0074-4204-x); 23 papers submitted</t>
  </si>
  <si>
    <t>https://ceur-ws.org/Vol-4204/</t>
  </si>
  <si>
    <t>ARCHIVED, VOLUME RE-READ. Vol-4204 reads "STIoT 2025", "Workshop on Smart Technologies and IoT 2025", "Proceedings of the Workshop on Smart Technologies and IoT 2025", "Almaty, Kazakhstan, November 19-20, 2025", edited by Kateryna Kolesnikova and Madina Ipalakova. Event dates confirmed. WATCH OUT when citing it: the CEUR page's HTML title mistakenly repeats "Workshop on Software and Knowledge Engineering 2025" (the title of Vol-4193); the volume body is the correct source. Held inside DTESI 2025. No deadlines or fee are recoverable from a published volume.</t>
  </si>
  <si>
    <t>UkrProg-IIT</t>
  </si>
  <si>
    <t>Workshop on Intelligent Information Technologies (at UkrPROG)</t>
  </si>
  <si>
    <t>CEUR Vol-4049 (ISSN 1613-0073, URN urn:nbn:de:0074-4049-X)</t>
  </si>
  <si>
    <t>13–14 May 2025</t>
  </si>
  <si>
    <t>On-site (inside UkrPROG 2025, Kyiv)</t>
  </si>
  <si>
    <t>https://ceur-ws.org/Vol-4049/</t>
  </si>
  <si>
    <t>Volume editors Volodymyr Pasichnyk (Lviv Polytechnic National University) and Volodymyr Sokolov (Borys Grinchenko Kyiv University)</t>
  </si>
  <si>
    <t>ARCHIVED, VOLUME RE-READ. Vol-4049 states verbatim: "Proceedings of the Workshop on Intelligent Information Technologies (UkrProg-IIT 2025), co-located with the 15th International Scientific and Practical Programming Conference (UkrPROG 2025)", "Kyiv, Ukraine, May 13-14, 2025", edited by Volodymyr Pasichnyk and Volodymyr Sokolov. Event dates confirmed, and this is also the source used to correct the parent UkrPROG 2025 row from a single day to 13-14.05.2025. No deadlines or fee are recoverable from a published volume.</t>
  </si>
  <si>
    <t>Conference Tracker — Overview</t>
  </si>
  <si>
    <t>Source: Conferences.csv · 103 entries · every row re-read page by page from the organisers' own site on 04 Sep 2026 (third verification pass)</t>
  </si>
  <si>
    <t>By relevance</t>
  </si>
  <si>
    <t>Count</t>
  </si>
  <si>
    <t>Share</t>
  </si>
  <si>
    <t>By category</t>
  </si>
  <si>
    <t>Total entries</t>
  </si>
  <si>
    <t>Submission status (live)</t>
  </si>
  <si>
    <t>Open</t>
  </si>
  <si>
    <t>Registration fees</t>
  </si>
  <si>
    <t>Value</t>
  </si>
  <si>
    <t>Open - closing soon</t>
  </si>
  <si>
    <t>Free of charge</t>
  </si>
  <si>
    <t>Event in progress</t>
  </si>
  <si>
    <t>Fee not published</t>
  </si>
  <si>
    <t>Camera-ready due</t>
  </si>
  <si>
    <t>Fee stated</t>
  </si>
  <si>
    <t>Registration due</t>
  </si>
  <si>
    <t>Priced in EUR</t>
  </si>
  <si>
    <t>Deadline not published</t>
  </si>
  <si>
    <t>Priced in UAH</t>
  </si>
  <si>
    <t>Submissions closed - event ahead</t>
  </si>
  <si>
    <t>Highest fee, EUR</t>
  </si>
  <si>
    <t>Expired</t>
  </si>
  <si>
    <t>Highest fee, UAH</t>
  </si>
  <si>
    <t>Actionable now (open + closing soon)</t>
  </si>
  <si>
    <t>Deadline within the next 30 days</t>
  </si>
  <si>
    <t>Detail captured this pass</t>
  </si>
  <si>
    <t>Rows</t>
  </si>
  <si>
    <t>Abstract deadline</t>
  </si>
  <si>
    <t>By publisher</t>
  </si>
  <si>
    <t>Camera-ready</t>
  </si>
  <si>
    <t>Registration deadline</t>
  </si>
  <si>
    <t>Location / venue</t>
  </si>
  <si>
    <t>Submission system</t>
  </si>
  <si>
    <t>Paper length</t>
  </si>
  <si>
    <t>Edition now tracked</t>
  </si>
  <si>
    <t>2024</t>
  </si>
  <si>
    <t>2025</t>
  </si>
  <si>
    <t>2026</t>
  </si>
  <si>
    <t>2027</t>
  </si>
  <si>
    <t>Active pipeline — what is still live</t>
  </si>
  <si>
    <t>The entries rated High or Mediocre, earliest submission deadline first. Every cell links to the Conferences sheet, so edits there flow through here.</t>
  </si>
  <si>
    <t>Verification Log — second and third passes, 04 Sep 2026</t>
  </si>
  <si>
    <t>Every value a pass corrected, added or re-confirmed as a change, newest pass first. The third pass re-opened all 103 source URLs, read each site's own dates block and its fees / submission / contact subpages, and pulled every archived CEUR volume header directly.</t>
  </si>
  <si>
    <t>Pass</t>
  </si>
  <si>
    <t>Field</t>
  </si>
  <si>
    <t>Was</t>
  </si>
  <si>
    <t>Now</t>
  </si>
  <si>
    <t>3rd (04.09.2026)</t>
  </si>
  <si>
    <t>Google Form (forms.gle/rysdTmshMxarg2je7)</t>
  </si>
  <si>
    <t>+7 708-354-21-65</t>
  </si>
  <si>
    <t>opcs2026sc@gmail.com; +7 708-354-21-65, +7 702-322-29-99, +7 707-933-88-90, +7 708-961-48-78, +7 707-375-22-96 (organ...</t>
  </si>
  <si>
    <t>NEW ROW, added at your request. OPEN CALL — submission 15.09.2026, 11 days out. XI International Scientific Conferenc...</t>
  </si>
  <si>
    <t>RE-READ 04.09.2026, ALL THREE DEADLINES CONFIRMED on the Important Dates block: submission 15.09.2026 (11 days out), ...</t>
  </si>
  <si>
    <t>Department of Applied Information Systems, Faculty of Information Technology, Taras Shevchenko National University of...</t>
  </si>
  <si>
    <t>aistis.conference@gmail.com</t>
  </si>
  <si>
    <t>CORRECTED FROM "DEADLINE NOT PUBLISHED" TO OPEN. The previous pass looked at the wrong page (/terms-fees/ 404s); the ...</t>
  </si>
  <si>
    <t>OPEN - 23 days to the deadline. Submission AND payment both 27.09.2026, confirmed on /how-to-submit/ and /terms-and-f...</t>
  </si>
  <si>
    <t>Not indexed - proceedings recommended by the Organising Committee are published electronically on the conference webs...</t>
  </si>
  <si>
    <t>Lviv Polytechnic National University, S. Bandera Str., building 12, Lviv 79013, Ukraine (organising committee: Depart...</t>
  </si>
  <si>
    <t>Abstracts 2–4 full A5 pages, Times New Roman 11pt, Ukrainian or English, MS Word</t>
  </si>
  <si>
    <t>Abstracts 2-4 full A5 pages, Times New Roman 11pt, line spacing 1.2, margins 1.5 cm all round, Ukrainian or English, ...</t>
  </si>
  <si>
    <t>(empty)</t>
  </si>
  <si>
    <t>CORRECTED FROM "DEADLINE NOT PUBLISHED" TO OPEN, and from "cost not specified" to FREE. The dates sit in a block on t...</t>
  </si>
  <si>
    <t>OPEN - 26 days out. The dates block reads exactly: 30.09.2026 18:00 submission of applications and the full text of r...</t>
  </si>
  <si>
    <t>Site submission form</t>
  </si>
  <si>
    <t>Regular papers 10-20 full pages, short papers 5-9 full pages; English, proofread; CEUR-ART one-column LibreOffice ODT...</t>
  </si>
  <si>
    <t>OPEN CALL. All four dates re-read from the site's Important Dates page: submission "before 30 Sep", notification "on ...</t>
  </si>
  <si>
    <t>OPEN - 26 days out. Deadlines confirmed verbatim: papers before 30.09.2026, notification on 21.10.2026, camera-ready ...</t>
  </si>
  <si>
    <t>Regular papers 10-20 full pages, short papers 5-9 full pages; English; CEUR-ART one-column LibreOffice ODT template w...</t>
  </si>
  <si>
    <t>OPEN CALL. RENAMED BAIT to BAITmp ("...for medical purpose"). WARNING - the site states THREE different event dates: ...</t>
  </si>
  <si>
    <t>OPEN - 27 days out. Deadlines confirmed: paper 01.10.2026, notification 01.11.2026, camera-ready 08.11.2026. Free ("P...</t>
  </si>
  <si>
    <t>Not stated on the 2026 site</t>
  </si>
  <si>
    <t>Springer Science+Business Media book chapter; partnership option with the journal "Computation"; peer review by at le...</t>
  </si>
  <si>
    <t>ictm2024@khai.edu; +380577884105 (chair Prof. Volodymyr Pavlikov; publication chair Assoc. Prof. Dmytro Kritskiy; sec...</t>
  </si>
  <si>
    <t>OPEN CALL. Site publishes only two dates (1 Oct submission, 1 Nov notification) plus a live countdown to the 18 Nov o...</t>
  </si>
  <si>
    <t>OPEN - 27 days out. Submission 01.10.2026 and notification 01.11.2026 confirmed; event 18-20.11.2026 at Kharkiv, Vady...</t>
  </si>
  <si>
    <t>Zhytomyr, Ukraine</t>
  </si>
  <si>
    <t>OPEN CALL. ADDED registration deadline 21.03.2027, which the previous pass missed. Blind peer review by two reviewers...</t>
  </si>
  <si>
    <t>All four dates confirmed: submission 11.12.2026, notification 02.01.2027, camera-ready 12.01.2027, registration 21.03...</t>
  </si>
  <si>
    <t>OPEN CALL. ADDED the separate abstract track the previous pass missed entirely: paper submission opens 01.12.2026 and...</t>
  </si>
  <si>
    <t>Dates confirmed and they really are in this order: paper submission opens 01.12.2026 and closes 26.01.2027; the separ...</t>
  </si>
  <si>
    <t>OPEN CALL. The initial submission is an EXTENDED ABSTRACT (28.02.2027), so it is recorded in both the abstract and su...</t>
  </si>
  <si>
    <t>Dates confirmed: extended-abstract submission 28.02.2027 (this is the only submission deadline the site publishes, wh...</t>
  </si>
  <si>
    <t>IEEE Xplore; Scopus-registered proceedings series (ISSN + ISBN)</t>
  </si>
  <si>
    <t>IEEE Xplore; registered Scopus periodical "Proceedings - International Conference on Advanced Computer Information Te...</t>
  </si>
  <si>
    <t>On-site 350 EUR non-IEEE / 300 EUR IEEE or PhD student / 250 EUR IEEE PhD student; online 120 / 90 / 70 EUR; accompan...</t>
  </si>
  <si>
    <t>Not published for 2027 - the shared Payments page still shows the ACIT'2026 schedule (on-site 350 EUR non-IEEE / 300 ...</t>
  </si>
  <si>
    <t>0</t>
  </si>
  <si>
    <t>workshopACIT@gmail.com</t>
  </si>
  <si>
    <t>workshopACIT@gmail.com; +380977761442 (Faculty of Computer Information Technologies, West Ukrainian National Universi...</t>
  </si>
  <si>
    <t>CORRECTED FROM EXPIRED TO OPEN. The previous pass tracked ACIT'2026 (Zlin, now finished) and missed the ACIT'2027 pag...</t>
  </si>
  <si>
    <t>Dates confirmed on the ACIT'2027 page: paper 04.04.2027, notification 23.05.2027, camera-ready 13.06.2027, online reg...</t>
  </si>
  <si>
    <t>OPEN CALL, marked "no extensions". ADDED three milestones the previous pass missed: position-paper submission 11.06.2...</t>
  </si>
  <si>
    <t>Dates confirmed: paper 14.05.2027, notification 28.06.2027, final paper 15.07.2027, early-registration discount ends ...</t>
  </si>
  <si>
    <t>Not stated (a Travel and Venue page exists but is empty)</t>
  </si>
  <si>
    <t>Not stated - online event; run inside the "Mathematics. Information Technologies. Education" framework. Co-organised ...</t>
  </si>
  <si>
    <t>OPEN CALL. All four dates re-read verbatim from the Important Dates page and cross-checked against the About page. UR...</t>
  </si>
  <si>
    <t>Dates confirmed on /important-dates/: paper 14.05.2027, acceptance 25.05.2027, camera-ready 30.05.2027, workshop 07.0...</t>
  </si>
  <si>
    <t>Workshop on Artificial Intelligence for Cybersecurity</t>
  </si>
  <si>
    <t>07.09.2026</t>
  </si>
  <si>
    <t>10.09.2026</t>
  </si>
  <si>
    <t>More than 9 A4 pages; CEUR-WS ODT (LibreOffice) or LaTeX template, Libertinus font required, Word/Microsoft365 strong...</t>
  </si>
  <si>
    <t>smics@lnu.edu.ua</t>
  </si>
  <si>
    <t>OPEN NOW via the SMICS-2026 registration deadline of 7 Sep 2026. The second of SMICS-2026's two CEUR workshops. No pr...</t>
  </si>
  <si>
    <t>OPEN - 3 days to the 07.09.2026 deadline. Dates FILLED IN from /en/dates, which the previous pass missed: 07.09.2026 ...</t>
  </si>
  <si>
    <t>Conference abstracts exactly 3-5 full A4 pages, LibreOffice ODT template with the Libertinus font, proper English, no...</t>
  </si>
  <si>
    <t>OPEN NOW - the site carries a live countdown to a REGISTRATION DEADLINE of 7 Sep 2026, three days from this verificat...</t>
  </si>
  <si>
    <t>Workshop on Cryptology and Data Security</t>
  </si>
  <si>
    <t>OPEN NOW via the SMICS-2026 registration deadline of 7 Sep 2026. Track record: the 2025 edition ran in LVIV on 16-18 ...</t>
  </si>
  <si>
    <t>Springer CCIS (2025 approval pending)</t>
  </si>
  <si>
    <t>Chernivtsi, Ukraine</t>
  </si>
  <si>
    <t>EVENT STARTS IN 11 DAYS. ADDED the abstract deadline (20.04.2026) and registration deadline (31.08.2026) the previous...</t>
  </si>
  <si>
    <t>EVENT STARTS IN 11 DAYS. Dates re-confirmed on /important-dates/: abstract 20.04.2026, paper 04.05.2026 extended to 1...</t>
  </si>
  <si>
    <t>20.09.2026</t>
  </si>
  <si>
    <t>National Technical University "Kharkiv Polytechnic Institute", Ukraine</t>
  </si>
  <si>
    <t>CORRECTED from "cost not specified" - the Registration Fees page gives 150–300 EUR with up to 95% off for Ukrainian p...</t>
  </si>
  <si>
    <t>REGISTRATION DEADLINE ADDED - 16 days out: the site's dates block gives "Final Payment Fees 20.09.2026", which the pr...</t>
  </si>
  <si>
    <t>25.08.2026</t>
  </si>
  <si>
    <t>04.09.2026</t>
  </si>
  <si>
    <t>Hotel Cherno More, Varna, Bulgaria</t>
  </si>
  <si>
    <t>IEEE Xplore</t>
  </si>
  <si>
    <t>8 pages standard, IEEE two-column conference template, English, PDF only; EUR 50 per excess page; EUR 100 discount on...</t>
  </si>
  <si>
    <t>EVENT RUNNING NOW (3–5 Sep 2026). The site's news log shows every extension: submission 08.06 to 22.06 to 05.07.2026;...</t>
  </si>
  <si>
    <t>EVENT RUNNING NOW (03-05.09.2026). The news log confirms every extension: submission 08.06 to 22.06 to 05.07.2026; no...</t>
  </si>
  <si>
    <t>Odesa, Ukraine (co-located with ICST-2026)</t>
  </si>
  <si>
    <t>EasyChair (cfp/adtismddc2026)</t>
  </si>
  <si>
    <t>CEUR article 10-15 pages in the new one-column CEUR ODT format; max 4 authors, at least one holding a PhD/DrSc with a...</t>
  </si>
  <si>
    <t>NEW ROW, found while checking the ICST URL you supplied. International Scientific and Practical Workshop "Advanced Di...</t>
  </si>
  <si>
    <t>SUBMISSIONS CLOSED, EVENT AHEAD (18 days). Dates confirmed on the ICST-ODESA-2026 pages: applications and articles bo...</t>
  </si>
  <si>
    <t>Odesa, Ukraine</t>
  </si>
  <si>
    <t>Article 10–15 pages, new one-column CEUR format; thesis abstract 1–3 A4 pages, Times New Roman 14pt</t>
  </si>
  <si>
    <t>CEUR article 10-15 pages in the new one-column CEUR ODT format, max 4 authors with at least one holding a PhD/DrSc an...</t>
  </si>
  <si>
    <t>ROLLED FORWARD FROM XIII/2025 TO XIV/2026. The site root now advertises ICST-ODESA-2026 on 22–24 Sep 2026, with appli...</t>
  </si>
  <si>
    <t>Perugia, Italy - co-located with AI*IA 2026, the 24th International Conference of the Italian Association for Artific...</t>
  </si>
  <si>
    <t>EasyChair (conf=xaiit2026)</t>
  </si>
  <si>
    <t>Regular 7–12 pages + references; short/position 4–6 pages + references; one-column CEUR format</t>
  </si>
  <si>
    <t>Regular papers 7-12 pages plus references; short and position papers 4-6 pages plus references; one-column CEUR-WS fo...</t>
  </si>
  <si>
    <t>CAMERA-READY 14.09.2026 STILL AHEAD. Submission was 20.07 and extended to 27.07.2026. Retitled for 2026: "Explainable...</t>
  </si>
  <si>
    <t>SUBMISSIONS CLOSED, EVENT AHEAD (34 days). Dates confirmed: paper 27.07.2026, notification to authors 24.08.2026, cam...</t>
  </si>
  <si>
    <t>Papers are directed to the Lviv Polytechnic journal "Ukrainian Journal of Mechanical Engineering and Materials Scienc...</t>
  </si>
  <si>
    <t>vasyl.t.dmytriv@lpnu.ua; +38(032)2582155, +380503724275 (chair Vasyl Dmytriv, Department of Design Machine and Automo...</t>
  </si>
  <si>
    <t>EVENT STARTS IN 3 DAYS. CORRECTED from "deadline not published" - the page does list 31.07.2026 18:00 for application...</t>
  </si>
  <si>
    <t>EVENT RUNNING NOW (07-12.09.2026). Dates confirmed verbatim: 31.07.2026 18:00 applications and full text of report ma...</t>
  </si>
  <si>
    <t>Remote participation available</t>
  </si>
  <si>
    <t>Regular 10–20 pages or short 5–9 pages, English</t>
  </si>
  <si>
    <t>Regular papers 10-20 pages or short papers 5-9 pages, English; CEUR-ART template in .odt; max 5 co-authors; max 2 sub...</t>
  </si>
  <si>
    <t>CAMERA-READY 15.09.2026 STILL AHEAD. ADDED the revised-paper deadline (24.08 extended to 31.08.2026) that the previou...</t>
  </si>
  <si>
    <t>SUBMISSIONS CLOSED, EVENT AHEAD (45 days). The site shows each date twice, original and extended: paper 27.07 extende...</t>
  </si>
  <si>
    <t>27.08.2026</t>
  </si>
  <si>
    <t>15.09.2026</t>
  </si>
  <si>
    <t>Publication venue TBA - the organisers state it "will be unveiled later"; a journal special issue or a post-proceedin...</t>
  </si>
  <si>
    <t>chairingtool.com (AIxIA 2026 main track)</t>
  </si>
  <si>
    <t>Full papers max 15 pages incl. bibliography; short, position and discussion papers max 7 pages; no limit for non-orig...</t>
  </si>
  <si>
    <t>Full papers max 15 pages including bibliography; short, position and discussion papers max 7 pages; no page limit for...</t>
  </si>
  <si>
    <t>ROLLED FORWARD FROM 2024 TO 2026 - the previous pass concluded no newer edition existed, but the old site links to hc...</t>
  </si>
  <si>
    <t>SUBMISSIONS CLOSED, EVENT AHEAD (32 days). THREE DATES ADDED that the previous pass left blank: notification of accep...</t>
  </si>
  <si>
    <t>Not published on the 2026 pages (a Registration fees page is linked but does not resolve)</t>
  </si>
  <si>
    <t>Full registration 300 EUR non-IEEE member / 260 EUR IEEE member; students presenting a single-author paper 240 EUR no...</t>
  </si>
  <si>
    <t>50</t>
  </si>
  <si>
    <t>Corfu, Greece</t>
  </si>
  <si>
    <t>Corfu (Kerkyra), Greece - organising committee: Department 503, National Aerospace University "KhAI", Vadym Manko str...</t>
  </si>
  <si>
    <t>IEEE Xplore Digital Library, indexed by Scopus; authors of selected papers invited to extend into Web of Science / Sc...</t>
  </si>
  <si>
    <t>5-8 pages, PDF, IEEE conference template; peer-reviewed by at least three independent reviewers; accepted papers must...</t>
  </si>
  <si>
    <t>CAMERA-READY 09.09 AND PAYMENT 12.09.2026 STILL AHEAD. Full date list re-read: workshop proposals 15.07.2026 (accepte...</t>
  </si>
  <si>
    <t>SUBMISSIONS CLOSED, EVENT AHEAD (28 days). Dates confirmed: paper 12.08.2026, notification 02.09.2026, final manuscri...</t>
  </si>
  <si>
    <t>Up to a maximum of 6 full pages</t>
  </si>
  <si>
    <t>Lviv, Ukraine (IEEE Ukraine Section with Lviv Polytechnic National University)</t>
  </si>
  <si>
    <t>EVENT STILL AHEAD; fee deadline 26.09.2026 also ahead. Cost corrected from "Free" in the original tracker to 150–300 ...</t>
  </si>
  <si>
    <t>SUBMISSIONS CLOSED, EVENT AHEAD (40 days). Dates confirmed: paper 20.08.2026, acceptance 25.09.2026, conference fee p...</t>
  </si>
  <si>
    <t>ADDED notification (30.09.2026) and camera-ready (15.10.2026), both of which the previous pass left blank and both st...</t>
  </si>
  <si>
    <t>DEADLINE PASSED 3 DAYS AGO. Dates confirmed on the home page: paper submission 01.09.2026, notification 30.09.2026, c...</t>
  </si>
  <si>
    <t>Future edition confirmed but no paper-submission deadline is published. CONFIRMED SITE ERROR: the page lists the came...</t>
  </si>
  <si>
    <t>LOCATION AND FORMAT CORRECTED - both read "Not stated" before, yet the site's masthead says plainly "Lviv Polytechnic...</t>
  </si>
  <si>
    <t>CORRECTED the submission deadline from 30.05.2024 to 14.06.2024 - the site's news log records "Deadline extended unti...</t>
  </si>
  <si>
    <t>ARCHIVED. Submission 14.06.2024 and the 19.10.2024 workshop day stand; the site publishes no notification, camera-rea...</t>
  </si>
  <si>
    <t>ADDED the location (LEUVEN, BELGIUM - previously blank) plus notification 08.09.2024 23:00 and final manuscript 27.09...</t>
  </si>
  <si>
    <t>ARCHIVED, ALL DATES CONFIRMED verbatim on the LPNU dates block: 16.08.2024 23:00 papers submission due, 08.09.2024 23...</t>
  </si>
  <si>
    <t>30.10.2024</t>
  </si>
  <si>
    <t>Site still shows the 5th/2024 edition with no newer call; a Registration Fees page exists but no amounts are publishe...</t>
  </si>
  <si>
    <t>ARCHIVED. TWO FIELDS CORRECTED. VENUE was "Not stated", but the site says the conference "will be held at Ivan Franko...</t>
  </si>
  <si>
    <t>The tracked csitic.com page redirect-loops; the live host is csitic.nure.ua, which is now an Open Journal Systems por...</t>
  </si>
  <si>
    <t>ARCHIVED and NO LONGER VERIFIABLE IN FULL: csitic.nure.ua no longer carries the 2024 programme, so the 21.09.2024 sub...</t>
  </si>
  <si>
    <t>ADDED notification (20.10.2024) and camera-ready (04.11.2024), both previously blank, plus the Bolzano location. Held...</t>
  </si>
  <si>
    <t>ARCHIVED, ALL DATES CONFIRMED verbatim: "Submission deadline: 30 September 2024", "Notification: 20 October 2024", "C...</t>
  </si>
  <si>
    <t>ADDED the registration deadline 20.10.2024 and the location. The camera-ready milestone is labelled "Submission Deadl...</t>
  </si>
  <si>
    <t>ARCHIVED, ALL DATES CONFIRMED: paper submission 01.10.2024, acceptance notification 10.10.2024, revised-paper submiss...</t>
  </si>
  <si>
    <t>CORRECTED: the 25.10.2024 deadline is for ABSTRACT submission, not full papers, and the 30.10.2024 notification is ac...</t>
  </si>
  <si>
    <t>ARCHIVED, ALL DATES CONFIRMED including the unusual one: abstract submission 25.10.2024, notification of acceptance o...</t>
  </si>
  <si>
    <t>Clarified that the 11.11.2024 deadline is for ABSTRACTS, submitted by e-mail alongside an application form, and that ...</t>
  </si>
  <si>
    <t>ARCHIVED. "Final submission: November 11, 2024" confirmed, and it doubles as the registration date; the conference ra...</t>
  </si>
  <si>
    <t>ADDED the registration deadline 16.12.2024 and the location. URL migrated from ans.nau.edu.ua to ans.kai.edu.ua.</t>
  </si>
  <si>
    <t>ARCHIVED, ALL DATES CONFIRMED: paper submission 25.11.2024, acceptance notification 09.12.2024, revised-paper submiss...</t>
  </si>
  <si>
    <t>COULD NOT BE RESOLVED. The site says only "Submit Your Abstracts Today - Submission Deadline is January 2nd" with no ...</t>
  </si>
  <si>
    <t>ARCHIVED and NOT PROPERLY VERIFIABLE: saic.ieee.org.ua is still largely an unfilled template. Alongside "Submission D...</t>
  </si>
  <si>
    <t>COULD NOT BE VERIFIED. The site's TLS certificate has expired and the browser refuses the navigation. All values carr...</t>
  </si>
  <si>
    <t>ARCHIVED, but the site has MOVED ON TO A NEW EDITION and no longer describes the 2025 one, so the 20.01.2025 submissi...</t>
  </si>
  <si>
    <t>ak24avo@gmail.com, +380979157215 (Volodymyr Artemchuk); semerikov@gmail.com (Serhiy Semerikov); bondarenko.olga@kdpu....</t>
  </si>
  <si>
    <t>ADDED the registration deadline 11.05.2025 and the workshop day 20.05.2025. Submission was a hard deadline. The organ...</t>
  </si>
  <si>
    <t>ARCHIVED, ALL DATES CONFIRMED: submission 31.01.2025, notification 01.04.2025, camera-ready 01.05.2025, registration ...</t>
  </si>
  <si>
    <t>All dates confirmed verbatim. No 2026 edition announced.</t>
  </si>
  <si>
    <t>ARCHIVED, ALL DATES CONFIRMED verbatim: "Paper submission deadline: March 8, 2025", "Notification of acceptance: Marc...</t>
  </si>
  <si>
    <t>All dates confirmed verbatim. The V (2026) edition the original tracker anticipated was never announced - the site st...</t>
  </si>
  <si>
    <t>ARCHIVED, ALL DATES CONFIRMED: "Paper Submission deadline: 01 April 2025", "Notification of acceptance: 10 April 2025...</t>
  </si>
  <si>
    <t>ADDED the registration deadline 10.05.2025. Note the final-submission deadline (20.05.2025) falls AFTER the workshop ...</t>
  </si>
  <si>
    <t>ARCHIVED. Submission 10.04.2025, notification 06.05.2025, registration 10.05.2025, camera-ready 20.05.2025 and the 13...</t>
  </si>
  <si>
    <t>13.05.2025</t>
  </si>
  <si>
    <t>14.05.2025</t>
  </si>
  <si>
    <t>COULD NOT BE VERIFIED. Both the tracked event page and the institute's /ukrprog/ index return 404, and the isofts.kie...</t>
  </si>
  <si>
    <t>ARCHIVED. EVENT DATES CORRECTED from a single day to 13-14.05.2025: CEUR Vol-4049 records its co-located workshop as ...</t>
  </si>
  <si>
    <t>ADDED the registration deadline 26.05.2025. Resolves the original tracker error that paired a 2025 submission date wi...</t>
  </si>
  <si>
    <t>ARCHIVED, ALL DATES CONFIRMED: paper submission 14.04.2025, acceptance notification 05.05.2025, revised-paper submiss...</t>
  </si>
  <si>
    <t>COULD NOT BE VERIFIED. The host fails TLS validation (its certificate is issued for default-ssl.default-host.net, not...</t>
  </si>
  <si>
    <t>ARCHIVED and NOT VERIFIABLE: https://www.isdmci.ks.ua/ returns HTTP 404 and the bare domain isdmci.ks.ua 404s as well...</t>
  </si>
  <si>
    <t>ADDED notification (20.07.2025) and camera-ready, both previously blank. Submission was 15.05 extended to 26.06.2025....</t>
  </si>
  <si>
    <t>ARCHIVED. Dates confirmed with one caveat: submission 15.05.2025 extended to 26.06.2025, notification 20.07.2025, and...</t>
  </si>
  <si>
    <t>COULD NOT BE VERIFIED. Checked twice: Cloudflare returns error 522 (the origin server does not respond). All values c...</t>
  </si>
  <si>
    <t>ARCHIVED and NOT VERIFIABLE: https://csdp.lpnu.ua/ returns HTTP 522 (the origin server is down), so nothing could be ...</t>
  </si>
  <si>
    <t>ADDED notification (10.09.2025) and camera-ready (01.10.2025), both previously blank. Submission was 15.07 extended t...</t>
  </si>
  <si>
    <t>ARCHIVED, ALL DATES CONFIRMED: "Paper submission deadline: 15 July 2025 22 July 2025 (AoE)" - extended to 22.07.2025 ...</t>
  </si>
  <si>
    <t>ADDED the registration deadline 18.09.2025 and the location. The 5th (2026) edition the original tracker anticipated ...</t>
  </si>
  <si>
    <t>ARCHIVED. Submission 31.07.2025, notification 30.08.2025, camera-ready 14.09.2025, registration 18.09.2025 and the 24...</t>
  </si>
  <si>
    <t>ADDED notification (14.10.2025) and camera-ready (21.10.2025), both previously blank. Named SCIA-SKID here to keep it...</t>
  </si>
  <si>
    <t>ARCHIVED, ALL DATES CONFIRMED verbatim on the SKID page: "01.09.2025 - Paper submission deadline", "14.10.2025 - Noti...</t>
  </si>
  <si>
    <t>25.09.2025</t>
  </si>
  <si>
    <t>26.09.2025</t>
  </si>
  <si>
    <t>CEUR-WS Vol-4110</t>
  </si>
  <si>
    <t>ROLLED FORWARD FROM 2024 TO 2025 - the previous pass concluded the workshop was not repeated, but CIAW-2025 ran as a ...</t>
  </si>
  <si>
    <t>ARCHIVED. EVENT DATES CORRECTED from 25-27 to 26-27.09.2025: CEUR Vol-4110 records the workshop itself as "Lviv, Ukra...</t>
  </si>
  <si>
    <t>CEURART style mandatory - LaTeX CEURART or the LibreOffice ODT template; the topic must be directly related to comput...</t>
  </si>
  <si>
    <t>ADDED dates that were blank before: paper submission 10.09.2025 23:00, notification 15.09.2025 23:00, official openin...</t>
  </si>
  <si>
    <t>ARCHIVED, ALL DATES CONFIRMED verbatim on the LPNU dates block: 10.09.2025 23:00 paper submission deadline, 15.09.202...</t>
  </si>
  <si>
    <t>ADDED the notification date 30.09.2025 and corrected the event to a two-day online conference (23–24 Oct 2025, starti...</t>
  </si>
  <si>
    <t>ARCHIVED. Event dates confirmed verbatim: "(SECS-2025) Thursday, 23 October 2025 - Friday, 24 October 2025". Submissi...</t>
  </si>
  <si>
    <t>ADDED a full date set that was blank before: submission 10.10.2025 23:59, notification 10.11.2025 18:00, camera-ready...</t>
  </si>
  <si>
    <t>ARCHIVED, ALL DATES CONFIRMED verbatim on the LPNU dates block: 10.10.2025 23:59 paper submission, 10.11.2025 18:00 n...</t>
  </si>
  <si>
    <t>ADDED the registration deadline 18.11.2025. As with AREdu, the final-submission deadline (27.11.2025) falls after the...</t>
  </si>
  <si>
    <t>ARCHIVED. The submission deadline is confirmed verbatim: papers went "through the HotCRP (https://notso.easyscience.e...</t>
  </si>
  <si>
    <t>Dates confirmed verbatim; deadline marked final. No AdvAIT-2026 appears on the department's workshop index, which doe...</t>
  </si>
  <si>
    <t>ARCHIVED, ALL DATES CONFIRMED verbatim: "Paper submission deadline: October 26, 2025 (the deadline is final, no exten...</t>
  </si>
  <si>
    <t>Dates confirmed verbatim (full paper 30.11.2025, notification 22.03.2026, conference 21–24.04.2026). The page still a...</t>
  </si>
  <si>
    <t>ARCHIVED. VENUE CORRECTED from "Not stated" - the site names Igor Sikorsky Kyiv Polytechnic Institute as host. Dates ...</t>
  </si>
  <si>
    <t>ADDED the fee-payment deadline 21.01.2026 that the previous pass missed. Other dates confirmed verbatim: submission 3...</t>
  </si>
  <si>
    <t>ARCHIVED, ALL DATES CONFIRMED verbatim: 30.11.2025 paper submission, 12.01.2026 acceptance notification, 14.01.2026 f...</t>
  </si>
  <si>
    <t>IEEE Xplore (publication is a free post-conference service, not covered by the fee)</t>
  </si>
  <si>
    <t>Site submission system</t>
  </si>
  <si>
    <t>Presenting author may present at most 3 papers</t>
  </si>
  <si>
    <t>ADDED the final-registration deadline 05.03.2026. Full sequence: submission extended to 15.12.2025, reviewer response...</t>
  </si>
  <si>
    <t>ARCHIVED. Dates confirmed and the odd ordering is the organisers' own: paper submission was EXTENDED to 15.12.2025; r...</t>
  </si>
  <si>
    <t>ADDED the registration deadline 01.05.2026 and the split between workshop day and main conference. Edition is XVIII, ...</t>
  </si>
  <si>
    <t>ARCHIVED, ALL DATES CONFIRMED: paper submission 10.01.2026, notification 21.03.2026, final submission 11.04.2026, reg...</t>
  </si>
  <si>
    <t>Full, original research papers of at least 6 pages, including surveys, tutorials and perspective/colloquia articles; ...</t>
  </si>
  <si>
    <t>ADDED the registration deadline 01.05.2026. Runs as STEM@ICon-MaSTEd and shares that conference's date schedule exact...</t>
  </si>
  <si>
    <t>ARCHIVED. LOCATION CORRECTED from Kryvyi Rih to TERNOPIL - this was a real error. The workshop page header reads "May...</t>
  </si>
  <si>
    <t>Short visionary papers presenting master-thesis proposals</t>
  </si>
  <si>
    <t>COULD NOT BE RE-READ - the UCU site sits behind a Cloudflare interstitial that did not clear, and the CFP PDF returns...</t>
  </si>
  <si>
    <t>ARCHIVED and ONLY PARTLY VERIFIABLE: apps.ucu.edu.ua sits behind a Cloudflare bot check that will not serve the page,...</t>
  </si>
  <si>
    <t>31.03.2026</t>
  </si>
  <si>
    <t>600 EUR (tracker figure; not restated on the current site)</t>
  </si>
  <si>
    <t>Registration in EUR. Early-bird (before 15.04.2026) / regular (16-30.04.2026) / late (from 01.05.2026): full delegate...</t>
  </si>
  <si>
    <t>Almaty, Kazakhstan</t>
  </si>
  <si>
    <t>ADDED three milestones the previous pass missed: notification 15.03.2026, camera-ready "2 weeks after acceptance noti...</t>
  </si>
  <si>
    <t>ARCHIVED, with two real corrections. CAMERA-READY ADDED as 31.03.2026: the Important Dates page only says "2 weeks af...</t>
  </si>
  <si>
    <t>26.03.2026</t>
  </si>
  <si>
    <t>ADDED notification (09.03.2026) and camera-ready (16.03.2026), both previously blank. Submission closed 31.01.2026 at...</t>
  </si>
  <si>
    <t>ARCHIVED, ALL DATES CONFIRMED verbatim on the LPNU dates block: 31.01.2026 23:59 paper submission, 09.03.2026 23:59 n...</t>
  </si>
  <si>
    <t>Regular paper at least 10 CEUR-WS pages with an appropriate number of references; short paper 5-9 CEUR-WS pages inclu...</t>
  </si>
  <si>
    <t>All dates and the free registration confirmed verbatim; location added.</t>
  </si>
  <si>
    <t>ARCHIVED, ALL DATES CONFIRMED verbatim: "Paper submission deadline: February 7, 2026", "Notification of acceptance: F...</t>
  </si>
  <si>
    <t>Confirmed in both Ukrainian and English on the page: applications and abstracts "before March 5, 2026", conference 10...</t>
  </si>
  <si>
    <t>ARCHIVED. Dates confirmed verbatim: "Submission of applications and papers for publication: before March 5st, 2026" (...</t>
  </si>
  <si>
    <t>All dates confirmed verbatim, with submission and camera-ready at 11:59 PM UTC-12. Three calls preceded the deadline:...</t>
  </si>
  <si>
    <t>ARCHIVED, ALL DATES CONFIRMED verbatim: "March 16 (11:59 PM UTC-12), 2026 - Paper submission deadline", "April 15, 20...</t>
  </si>
  <si>
    <t>Scopus and DBLP</t>
  </si>
  <si>
    <t>CEUR Workshop Proceedings (ISSN 1613-0073), indexed by Scopus and DBLP; alternative route into the journal "Radio Ele...</t>
  </si>
  <si>
    <t>Site submission form (author agreement required with the paper)</t>
  </si>
  <si>
    <t>subbotin@zp.edu.ua / +380673941180</t>
  </si>
  <si>
    <t>All dates confirmed verbatim; full venue address and contact added. Papers may alternatively be routed to the journal...</t>
  </si>
  <si>
    <t>ARCHIVED, ALL DATES CONFIRMED: paper submission 22.03.2026, acceptance notification 12.04.2026, camera-ready 26.04.20...</t>
  </si>
  <si>
    <t>All dates confirmed verbatim from the site's Important Dates block (the previous pass had to rely on a search snippet...</t>
  </si>
  <si>
    <t>ARCHIVED. Submission 27.03.2026, notification 17.04.2026 and camera-ready 30.04.2026 are retained from the earlier pa...</t>
  </si>
  <si>
    <t>ADDED a full date set that was entirely blank before: registration and submission of materials 01.05.2026 18:00, noti...</t>
  </si>
  <si>
    <t>ARCHIVED, ALL DATES CONFIRMED verbatim on the LPNU dates block: 01.05.2026 18:00 deadline for registration AND submis...</t>
  </si>
  <si>
    <t>11.05.2026</t>
  </si>
  <si>
    <t>08.05.2026</t>
  </si>
  <si>
    <t>15.05.2026</t>
  </si>
  <si>
    <t>15–21 Aug 2026</t>
  </si>
  <si>
    <t>21.08.2026</t>
  </si>
  <si>
    <t>17.08.2026</t>
  </si>
  <si>
    <t>Regular papers at least 10 pp.; short papers 5–9 pp.</t>
  </si>
  <si>
    <t>Regular papers 10-20 pages, short/position/work-in-progress papers 5-9 pages; English, PDF only, double-blind and ful...</t>
  </si>
  <si>
    <t>Now runs as the joint EASi-EXPLIMED workshop inside IJCAI-ECAI 2026 (the 35th IJCAI) in Bremen, 15–21 August 2026 - c...</t>
  </si>
  <si>
    <t>ARCHIVED, with three corrections. SUBMISSION DEADLINE CORRECTED from 08.05.2026 to 15.05.2026 - the Important dates p...</t>
  </si>
  <si>
    <t>ADDED the extended-abstract deadline 15.05.2026 08:00 and registration deadline 12.06.2026 11:00, both previously bla...</t>
  </si>
  <si>
    <t>ARCHIVED, ALL DATES CONFIRMED verbatim on the LPNU dates block: 15.05.2026 08:00 deadline for extended-abstract submi...</t>
  </si>
  <si>
    <t>Dates confirmed verbatim; the 18.05.2026 deadline was marked final with no extension. The page's template section sti...</t>
  </si>
  <si>
    <t>ARCHIVED, ALL DATES CONFIRMED verbatim: "Paper submission deadline: May 18, 2026 (the deadline is final, no extension...</t>
  </si>
  <si>
    <t>Dates confirmed verbatim under the site's "UPDATED DATES" heading; the deadline was marked final with no extension pl...</t>
  </si>
  <si>
    <t>ARCHIVED, ALL DATES CONFIRMED verbatim: "Paper submission deadline: May 20, 2026 (the deadline is final, no extension...</t>
  </si>
  <si>
    <t>ADDED the location, which was missing entirely - the 5th edition was held in KRAKOW, POLAND, not Ukraine. Dates confi...</t>
  </si>
  <si>
    <t>ARCHIVED, ALL DATES CONFIRMED verbatim: "Paper submission deadline: before June 8, 2026", "Notification of acceptance...</t>
  </si>
  <si>
    <t>Dates confirmed verbatim: submission 01.06 extended to 25.06.2026, notification 01.07.2026, camera-ready 10.07.2026, ...</t>
  </si>
  <si>
    <t>ARCHIVED, ALL DATES CONFIRMED, and the extension is visible on the page: "01.06.2026 25.06.2026 Paper submission dead...</t>
  </si>
  <si>
    <t>CEUR Vol-4224; 35 papers submitted</t>
  </si>
  <si>
    <t>Volume editors Kateryna Kolesnikova and Madina Ipalakova, International Information Technology University, Almaty, Ka...</t>
  </si>
  <si>
    <t>BORDERLINE ON YOUR “Ukrainian scholars” CRITERION: hosted and chaired at International Information Technology Univers...</t>
  </si>
  <si>
    <t>ARCHIVED, VOLUME RE-READ. Vol-4224 states verbatim: "Proceedings of the Workshop on Artificial Intelligence 2025", "c...</t>
  </si>
  <si>
    <t>CEUR Vol-4014; 13 papers submitted</t>
  </si>
  <si>
    <t>ARCHIVED, VOLUME RE-READ. Vol-4014 states verbatim: "Proceedings of the 1st International Workshop on Application of ...</t>
  </si>
  <si>
    <t>CEUR Vol-4160</t>
  </si>
  <si>
    <t>THE ONLY DECEMBER CANDIDATE the survey found, and explicitly hybrid, so remote participation is supported. Registrati...</t>
  </si>
  <si>
    <t>ARCHIVED, VOLUME RE-READ. Vol-4160 states verbatim: "Proceedings of the International Scientific Workshop on Applied ...</t>
  </si>
  <si>
    <t>CEUR Vol-4180; 23 papers submitted</t>
  </si>
  <si>
    <t>ARCHIVED, VOLUME RE-READ. Vol-4180 states verbatim: "Proceedings of the Workshop on Cybersecurity, Infocommunication ...</t>
  </si>
  <si>
    <t>CEUR Vol-3976</t>
  </si>
  <si>
    <t>Outside your window (May). A satellite of CoLInS 2025 (9th), which DID run in Kharkiv on 15-16 May 2025 - note that t...</t>
  </si>
  <si>
    <t>ARCHIVED, VOLUME RE-READ. Vol-3976 states verbatim: "Proceedings of the Computational Linguistics Workshop (CLW-CoLIn...</t>
  </si>
  <si>
    <t>RE-CONFIRMED: the Important Dates block reads "The conference is postponed indefinitely" with the submission, notific...</t>
  </si>
  <si>
    <t>POSTPONED INDEFINITELY - re-confirmed 04.09.2026. colins.in.ua still shows the "Submission date:" and "Acceptance not...</t>
  </si>
  <si>
    <t>Scopus, DBLP; CEUR Vol-4145 (series back to Vol-2746)</t>
  </si>
  <si>
    <t>Scopus (EID 2-s2.0-105037957767), DBLP (conf/cpits/cpits2025-2), TIB 1915196752; CEUR Vol-4145 published 26.10.2025 (...</t>
  </si>
  <si>
    <t>Short 5-9 CEUR-WS pages; regular 10+ pages</t>
  </si>
  <si>
    <t>THE STRONGEST CANDIDATE FROM THE CEUR SURVEY. CPITS runs TWICE a year and the table previously held only the February...</t>
  </si>
  <si>
    <t>ARCHIVED, RE-CONFIRMED. The host site's volume history pins this edition exactly: "CEUR-WS Vol. 4145, October 26, 202...</t>
  </si>
  <si>
    <t>CEUR Vol-4016; 11 papers submitted</t>
  </si>
  <si>
    <t>Volume editors Volodymyr Sokolov (Borys Grinchenko Kyiv Metropolitan University), Vasyl Ustimenko (Royal Holloway, Un...</t>
  </si>
  <si>
    <t>Just outside your window (early August). Co-located with the International Conference on Problems of Infocommunicatio...</t>
  </si>
  <si>
    <t>ARCHIVED, VOLUME RE-READ. Vol-4016 states verbatim: "Proceedings of the Workshop Classic, Quantum, and Post-Quantum C...</t>
  </si>
  <si>
    <t>CEUR Vol-4043</t>
  </si>
  <si>
    <t>Outside your window (May). NOTABLE GAP: your table already carries seven workshops from this same Semerikov / Vakaliu...</t>
  </si>
  <si>
    <t>ARCHIVED, VOLUME RE-READ, WITH A LABEL DISCREPANCY WORTH KNOWING. Vol-4043 is titled "Proceedings of the 12th Worksho...</t>
  </si>
  <si>
    <t>CEUR; the 9th edition is Vol-3966 (60 papers submitted)</t>
  </si>
  <si>
    <t>CEUR; the 9th edition (DTESI 2024) is Vol-3966; NO main volume for the 10th/2025 edition has appeared - its four co-l...</t>
  </si>
  <si>
    <t>Volume editors Assylbek Issakhov, Kateryna Kolesnikova and others, International Information Technology University, A...</t>
  </si>
  <si>
    <t>CORRECTED - THE RECORDED URL POINTS AT THE WRONG VOLUME. https://ceur-ws.org/Vol-3966/ is "Proceedings of the 9th Int...</t>
  </si>
  <si>
    <t>01.10.2025</t>
  </si>
  <si>
    <t>03.10.2025</t>
  </si>
  <si>
    <t>Venue and proceedings DOI added. Registration opened 23.09.2025 and the proceedings were announced on 28.01.2026. No ...</t>
  </si>
  <si>
    <t>ARCHIVED. TWO DATES ADDED that were blank, and both were extended by the organisers: "Submission deadline: 25 Septemb...</t>
  </si>
  <si>
    <t>IS-CoLInS</t>
  </si>
  <si>
    <t>CEUR Vol-3983</t>
  </si>
  <si>
    <t>Outside your window (May). The second CoLInS 2025 satellite. Editors: Olga Cherednichenko (Bratislava Univ. of Econom...</t>
  </si>
  <si>
    <t>ACRONYM CORRECTED from IS-CoLInS to ISW-CoLInS, which is the acronym the volume itself uses. Vol-3983 states verbatim...</t>
  </si>
  <si>
    <t>CEUR Vol-4158; 26 papers submitted</t>
  </si>
  <si>
    <t>The second CEUR workshop track of IT&amp;I, again published separately from the Springer CCIS main volume. Expected to re...</t>
  </si>
  <si>
    <t>ARCHIVED, VOLUME RE-READ. Vol-4158 states verbatim: "Proceedings of the Information Technology and Implementation (IT...</t>
  </si>
  <si>
    <t>CEUR Vol-4170; 27 papers submitted</t>
  </si>
  <si>
    <t>A CEUR workshop track of IT&amp;I, published SEPARATELY from the main conference (which goes to Springer CCIS). IT&amp;I-2026...</t>
  </si>
  <si>
    <t>ARCHIVED, VOLUME RE-READ. Vol-4170 states verbatim: "Proceedings of the Information Technology and Implementation (IT...</t>
  </si>
  <si>
    <t>CEUR Vol-3933 and Vol-3955</t>
  </si>
  <si>
    <t>The third CEUR workshop track of IT&amp;I. Its most recent volume is the 2024 edition; no 2025 volume was found, so this ...</t>
  </si>
  <si>
    <t>ARCHIVED, VOLUME RE-READ, AND ONE VOLUME NUMBER REMOVED. Vol-3955 states verbatim: "Proceedings of the Information Te...</t>
  </si>
  <si>
    <t>CEUR Vol-4023; 33 papers submitted</t>
  </si>
  <si>
    <t>Volume editors Sergey Bushuyev (Ukrainian Project Management Association), Nataliia Kunanets, Volodymyr Pasichnyk and...</t>
  </si>
  <si>
    <t>Outside your window (May) but fully Ukrainian. Editors: Sergey Bushuyev (Ukrainian Project Management Association “UK...</t>
  </si>
  <si>
    <t>ARCHIVED, VOLUME RE-READ. Vol-4023 states verbatim: "Proceedings of the 6th International Workshop IT Project Managem...</t>
  </si>
  <si>
    <t>CEUR-WS (selected papers)</t>
  </si>
  <si>
    <t>CEUR-WS (selected papers); the most recent published volume is Vol-4068 = ITS 2024, the XXIV conference, Kyiv, 19.12....</t>
  </si>
  <si>
    <t>Venue and format added. Registration is marked closed and no submission milestones are published for the XXV edition;...</t>
  </si>
  <si>
    <t>ARCHIVED. Event date re-confirmed on the conference site: "11 December 2025", with participants' registration and two...</t>
  </si>
  <si>
    <t>CEUR Vol-4035</t>
  </si>
  <si>
    <t>Outside your window (May). Co-located with the IV International Scientific Symposium “Intelligent Solutions” (IntSol ...</t>
  </si>
  <si>
    <t>ARCHIVED, VOLUME RE-READ. Vol-4035 states verbatim: "Proceedings of the International Workshop on Computational Intel...</t>
  </si>
  <si>
    <t>CEUR Vol-4005</t>
  </si>
  <si>
    <t>Outside your window (June). The doctoral-consortium companion to MoMLeT, so a route for PhD-stage work. Editors: Vasy...</t>
  </si>
  <si>
    <t>ARCHIVED, VOLUME RE-READ. Vol-4005 states verbatim: "Proceedings of the Modern Data Science Technologies Doctoral Con...</t>
  </si>
  <si>
    <t>CEUR Vol-4004; 60 papers submitted</t>
  </si>
  <si>
    <t>Outside your window (June). This is the CEUR workshop volume of the MoMLeT series already tracked here - 60 submissio...</t>
  </si>
  <si>
    <t>ARCHIVED, VOLUME RE-READ. Vol-4004 states verbatim: "Proceedings of the Modern Machine Learning Technologies Workshop...</t>
  </si>
  <si>
    <t>PhD-AI-CoLInS</t>
  </si>
  <si>
    <t>CEUR Vol-4015</t>
  </si>
  <si>
    <t>Outside your window (May). The third CoLInS 2025 satellite, aimed at doctoral students. Editors: Olga Cherednichenko,...</t>
  </si>
  <si>
    <t>ACRONYM CORRECTED from PhD-AI-CoLInS to AICS-CoLInS, which is the acronym the volume itself uses. Vol-4015 states ver...</t>
  </si>
  <si>
    <t>CEUR Vol-4225</t>
  </si>
  <si>
    <t>Outside your Sep-Dec window (late June) but Ukrainian and CEUR-published, so kept for a future 2027 edition. Editors:...</t>
  </si>
  <si>
    <t>ARCHIVED, VOLUME RE-READ. Vol-4225 states verbatim: "Proceedings of the Workshop on Resilient Systems: Secure Digital...</t>
  </si>
  <si>
    <t>SKE</t>
  </si>
  <si>
    <t>CEUR Vol-4193; 20 papers submitted</t>
  </si>
  <si>
    <t>ACRONYM CORRECTED from SKE to SNE, which is the acronym printed in the volume itself. Vol-4193 reads "SNE 2025", "Wor...</t>
  </si>
  <si>
    <t>CEUR Vol-4150; 25 papers submitted</t>
  </si>
  <si>
    <t>Volume editors Mikolaj Karpinski (University of the National Education Commission, Poland), Piotr Milczarski (Univers...</t>
  </si>
  <si>
    <t>Outside your window (June). Held inside the V International Scientific and Practical Conference “Information Security...</t>
  </si>
  <si>
    <t>ARCHIVED, VOLUME RE-READ. Vol-4150 states verbatim: "PROCEEDINGS of the Workshop on Scientific and Practical Issues o...</t>
  </si>
  <si>
    <t>CEUR Vol-4204; 23 papers submitted</t>
  </si>
  <si>
    <t>ARCHIVED, VOLUME RE-READ. Vol-4204 reads "STIoT 2025", "Workshop on Smart Technologies and IoT 2025", "Proceedings of...</t>
  </si>
  <si>
    <t>CEUR Vol-4049</t>
  </si>
  <si>
    <t>Volume editors Volodymyr Pasichnyk (Lviv Polytechnic National University) and Volodymyr Sokolov (Borys Grinchenko Kyi...</t>
  </si>
  <si>
    <t>Outside your window (May). VALUABLE SIDE-EFFECT: this volume is the only source that confirms the host conference Ukr...</t>
  </si>
  <si>
    <t>ARCHIVED, VOLUME RE-READ. Vol-4049 states verbatim: "Proceedings of the Workshop on Intelligent Information Technolog...</t>
  </si>
  <si>
    <t>OPEN - 27 days out. Deadlines confirmed: paper 01.10.2026, notification 01.11.2026, camera-ready 08.11.2026. Free ("Pa</t>
  </si>
  <si>
    <t>Not stated - the source is a published CEUR volume, which carries no author guidelines (CEUR house style is CEURART on</t>
  </si>
  <si>
    <t>2nd (04.09.2026)</t>
  </si>
  <si>
    <t>Added to the table</t>
  </si>
  <si>
    <t>(not tracked)</t>
  </si>
  <si>
    <t>ADT-ISMDDC 2026 — 22–24 Sep 2026</t>
  </si>
  <si>
    <t>AI4Cyber 2026 — 24–25 Sep 2026</t>
  </si>
  <si>
    <t>AI@DTESI 2025 — 19–20 Nov 2025</t>
  </si>
  <si>
    <t>AIT 2025 — 05 Mar 2025</t>
  </si>
  <si>
    <t>AIT&amp;AIS 2025 — 18–19 Dec 2025</t>
  </si>
  <si>
    <t>CISN 2025 — 19–20 Nov 2025</t>
  </si>
  <si>
    <t>CLW-CoLInS 2025 — 15–16 May 2025</t>
  </si>
  <si>
    <t>CPITS-II 2025 — 26 Oct 2025 (online)</t>
  </si>
  <si>
    <t>CQPC 2025 — 05 Aug 2025</t>
  </si>
  <si>
    <t>CSAM 2026 — 07–11 Oct 2026</t>
  </si>
  <si>
    <t>CTE 2025 — 12 May 2025</t>
  </si>
  <si>
    <t>DTESI 2025 — 19–20 Nov 2025</t>
  </si>
  <si>
    <t>IS-CoLInS 2025 — 15–16 May 2025</t>
  </si>
  <si>
    <t>IT&amp;I-WS: AITDS 2025 — 20–21 Nov 2025</t>
  </si>
  <si>
    <t>IT&amp;I-WS: ISICP 2025 — 20–21 Nov 2025</t>
  </si>
  <si>
    <t>IT&amp;I-WS: ITIAS 2024 — 20–21 Nov 2024</t>
  </si>
  <si>
    <t>ITPM 2025 — 22 May 2025</t>
  </si>
  <si>
    <t>IWSCI 2025 — 01–05 May 2025</t>
  </si>
  <si>
    <t>MoDaST 2025 — 15–16 Jun 2025</t>
  </si>
  <si>
    <t>MoMLeT-WS 2025 — 14–15 Jun 2025</t>
  </si>
  <si>
    <t>PhD-AI-CoLInS 2025 — 15–16 May 2025</t>
  </si>
  <si>
    <t>RS 2026 — 30 Jun 2026</t>
  </si>
  <si>
    <t>SKE 2025 — 19–20 Nov 2025</t>
  </si>
  <si>
    <t>SMICS 2026 — 24–25 Sep 2026</t>
  </si>
  <si>
    <t>SPICIT 2025 — 09–11 Jun 2025</t>
  </si>
  <si>
    <t>STIoT 2025 — 19–20 Nov 2025</t>
  </si>
  <si>
    <t>UkrProg-IIT 2025 — 13–14 May 2025</t>
  </si>
  <si>
    <t>WCDS 2026 — 24–25 Sep 2026</t>
  </si>
  <si>
    <t>Tracked edition</t>
  </si>
  <si>
    <t>ACIT 2026</t>
  </si>
  <si>
    <t>ACIT 2027</t>
  </si>
  <si>
    <t>CIAW 2024</t>
  </si>
  <si>
    <t>CIAW 2025</t>
  </si>
  <si>
    <t>HC@AIxIA 2024</t>
  </si>
  <si>
    <t>HC@AIxIA 2026</t>
  </si>
  <si>
    <t>ICST 2025</t>
  </si>
  <si>
    <t>ICST 2026</t>
  </si>
  <si>
    <t>Submission deadline</t>
  </si>
  <si>
    <t>19.04.2026</t>
  </si>
  <si>
    <t>04.04.2027</t>
  </si>
  <si>
    <t>(blank)</t>
  </si>
  <si>
    <t>27.09.2026</t>
  </si>
  <si>
    <t>10.09.2024</t>
  </si>
  <si>
    <t>10.09.2025</t>
  </si>
  <si>
    <t>30.05.2024</t>
  </si>
  <si>
    <t>14.06.2024</t>
  </si>
  <si>
    <t>30.09.2024</t>
  </si>
  <si>
    <t>04.08.2026</t>
  </si>
  <si>
    <t>30.06.2025</t>
  </si>
  <si>
    <t>15.07.2026</t>
  </si>
  <si>
    <t>10.10.2025</t>
  </si>
  <si>
    <t>01.05.2026</t>
  </si>
  <si>
    <t>24.05.2026</t>
  </si>
  <si>
    <t>23.05.2027</t>
  </si>
  <si>
    <t>20.07.2025</t>
  </si>
  <si>
    <t>20.10.2024</t>
  </si>
  <si>
    <t>15.09.2025</t>
  </si>
  <si>
    <t>15.03.2026</t>
  </si>
  <si>
    <t>08.09.2024</t>
  </si>
  <si>
    <t>30.08.2025</t>
  </si>
  <si>
    <t>10.11.2025</t>
  </si>
  <si>
    <t>30.09.2026</t>
  </si>
  <si>
    <t>20.08.2026</t>
  </si>
  <si>
    <t>14.10.2025</t>
  </si>
  <si>
    <t>30.09.2025</t>
  </si>
  <si>
    <t>09.03.2026</t>
  </si>
  <si>
    <t>14.06.2026</t>
  </si>
  <si>
    <t>13.06.2027</t>
  </si>
  <si>
    <t>08.09.2025</t>
  </si>
  <si>
    <t>04.11.2024</t>
  </si>
  <si>
    <t>27.09.2024</t>
  </si>
  <si>
    <t>17.11.2025</t>
  </si>
  <si>
    <t>15.10.2026</t>
  </si>
  <si>
    <t>10.05.2026</t>
  </si>
  <si>
    <t>21.10.2025</t>
  </si>
  <si>
    <t>16.03.2026</t>
  </si>
  <si>
    <t>Event start</t>
  </si>
  <si>
    <t>02.09.2026</t>
  </si>
  <si>
    <t>13.09.2027</t>
  </si>
  <si>
    <t>25.11.2024</t>
  </si>
  <si>
    <t>26.11.2024</t>
  </si>
  <si>
    <t>10.10.2024</t>
  </si>
  <si>
    <t>27.11.2024</t>
  </si>
  <si>
    <t>06.10.2026</t>
  </si>
  <si>
    <t>24.09.2025</t>
  </si>
  <si>
    <t>22.09.2026</t>
  </si>
  <si>
    <t>Cost</t>
  </si>
  <si>
    <t>On-site 350 EUR non-IEEE / 300 EUR IEEE or PhD student / 250 EUR IEEE PhD student; online 120 / 90 / 70 EUR; accompanying person 200 EUR; FREE for single-author student papers; Ukrainian residents by grant application; +20 EUR per page above 4</t>
  </si>
  <si>
    <t>Free to attend, present and publish short abstracts</t>
  </si>
  <si>
    <t>150 EUR IEEE student / 200 EUR student / 250 EUR IEEE member / 300 EUR non-member; +50% for a second paper</t>
  </si>
  <si>
    <t>100 UAH (2024 figure)</t>
  </si>
  <si>
    <t>600 EUR (2026 figure, not re-confirmed on the live page)</t>
  </si>
  <si>
    <t>500 EUR (2024 figure)</t>
  </si>
  <si>
    <t>145 EUR IEEE student / 190 EUR student / 240 EUR IEEE member / 290 EUR non-member (VAT incl.)</t>
  </si>
  <si>
    <t>Not specified for the 2026 workshop</t>
  </si>
  <si>
    <t>Free for Ukrainian corresponding authors (waived by IOP); 95 GBP for international authors</t>
  </si>
  <si>
    <t>Free for corresponding authors at Ukrainian institutions; 60 EUR otherwise; audience free</t>
  </si>
  <si>
    <t>300–350 EUR students / 400–450 EUR IEEE members / 450–500 EUR non-members (early–late)</t>
  </si>
  <si>
    <t>20 EUR (2025 figure, not re-confirmed)</t>
  </si>
  <si>
    <t>Free online; in-person fee not published for 2024</t>
  </si>
  <si>
    <t>50 EUR (2025 figure, not re-confirmed)</t>
  </si>
  <si>
    <t>500 UAH (2026 figure, not re-confirmed on the live page)</t>
  </si>
  <si>
    <t>900 UAH + 100 UAH per page beyond 9 pages (2025 figure, not re-confirmed)</t>
  </si>
  <si>
    <t>https://acit.tech/index.php/call-for-papers</t>
  </si>
  <si>
    <t>https://aequitas-aod.github.io/aequitas-ecai25.github.io/index.html</t>
  </si>
  <si>
    <t>https://aistis.knu.ua/</t>
  </si>
  <si>
    <t>https://science.lpnu.ua/ciss-2024/computational-intelligence-application-workshop</t>
  </si>
  <si>
    <t>https://csit.ieee.org.ua/</t>
  </si>
  <si>
    <t>https://dsmie.sumdu.edu.ua/</t>
  </si>
  <si>
    <t>https://sites.google.com/unical.it/hcaixia2024/home</t>
  </si>
  <si>
    <t>https://icst-conf.com/main-eng.html</t>
  </si>
  <si>
    <t>https://icteri.org/icteri-2026/</t>
  </si>
  <si>
    <t>https://momlet.in.ua/about-momlet/</t>
  </si>
  <si>
    <t>https://lpnu.ua/en/events/international-conference-synergy-terra-2026</t>
  </si>
  <si>
    <t>https://unlp.org.ua/</t>
  </si>
  <si>
    <t>https://xai-it.github.io/</t>
  </si>
  <si>
    <t>Abstract deadline (new column)</t>
  </si>
  <si>
    <t>11.11.2024</t>
  </si>
  <si>
    <t>20.04.2026</t>
  </si>
  <si>
    <t>28.02.2027</t>
  </si>
  <si>
    <t>25.10.2024</t>
  </si>
  <si>
    <t>02.01.2025</t>
  </si>
  <si>
    <t>Contact (new column)</t>
  </si>
  <si>
    <t>Format (new column)</t>
  </si>
  <si>
    <t>Indexing (new column)</t>
  </si>
  <si>
    <t>Location / venue (new column)</t>
  </si>
  <si>
    <t>Paper length (new column)</t>
  </si>
  <si>
    <t>Full papers max 15 pages incl. bibliography; short, position and discussion papers max 7 pages; no limit for non-original contributions</t>
  </si>
  <si>
    <t>Registration deadline (new column)</t>
  </si>
  <si>
    <t>30.06.2027</t>
  </si>
  <si>
    <t>10.05.2025</t>
  </si>
  <si>
    <t>26.05.2025</t>
  </si>
  <si>
    <t>18.11.2025</t>
  </si>
  <si>
    <t>26.09.2026</t>
  </si>
  <si>
    <t>12.09.2026</t>
  </si>
  <si>
    <t>18.09.2025</t>
  </si>
  <si>
    <t>21.03.2027</t>
  </si>
  <si>
    <t>15.04.2026</t>
  </si>
  <si>
    <t>05.03.2026</t>
  </si>
  <si>
    <t>31.07.2027</t>
  </si>
  <si>
    <t>11.05.2025</t>
  </si>
  <si>
    <t>31.08.2026</t>
  </si>
  <si>
    <t>31.05.2027</t>
  </si>
  <si>
    <t>05.11.2024</t>
  </si>
  <si>
    <t>12.06.2026</t>
  </si>
  <si>
    <t>21.01.2026</t>
  </si>
  <si>
    <t>16.12.2024</t>
  </si>
  <si>
    <t>Submission system (new column)</t>
  </si>
  <si>
    <t>Notes, legend and method</t>
  </si>
  <si>
    <t>1. What this workbook is</t>
  </si>
  <si>
    <t>Source</t>
  </si>
  <si>
    <t>Conferences.csv (Notion-style export, 75 records) plus 28 rows added from the CEUR-WS survey</t>
  </si>
  <si>
    <t>Read verbatim; no record dropped, merged or invented. The CSV on disk is unchanged.</t>
  </si>
  <si>
    <t>Verification</t>
  </si>
  <si>
    <t>All 103 sites and CEUR volumes re-read page by page on 04.09.2026 (third pass)</t>
  </si>
  <si>
    <t>The third pass re-opened every URL, read each site's own dates block verbatim, then opened its fees, submission, author-guidelines and contact subpages, decoded Cloudflare-obfuscated e-mail links, and fetched all archived CEUR volume headers straight from ceur-ws.org rather than trusting the earlier summaries.</t>
  </si>
  <si>
    <t>Sheets</t>
  </si>
  <si>
    <t>Conferences · Dashboard · Active Pipeline · Verification Log · Notes &amp; Legend</t>
  </si>
  <si>
    <t>Conferences is the full table; the rest are derived from it by formula.</t>
  </si>
  <si>
    <t>Sort order</t>
  </si>
  <si>
    <t>Relevance (High, Mediocre, Finished), then earliest submission deadline</t>
  </si>
  <si>
    <t>The # column reflects this sort, not the CSV order.</t>
  </si>
  <si>
    <t>Date format</t>
  </si>
  <si>
    <t>dd.mm.yyyy (day.month.year)</t>
  </si>
  <si>
    <t>Chosen so the display does not shift with the reader's Windows locale.</t>
  </si>
  <si>
    <t>2. The Relevance drop-down</t>
  </si>
  <si>
    <t>Where</t>
  </si>
  <si>
    <t>Relevance column (G) on the Conferences sheet</t>
  </si>
  <si>
    <t>Click a cell and pick from the list; typing anything else is rejected.</t>
  </si>
  <si>
    <t>Values</t>
  </si>
  <si>
    <t>High · Mediocre · Finished</t>
  </si>
  <si>
    <t>The same three ratings the original tracker used.</t>
  </si>
  <si>
    <t>Knock-on effects</t>
  </si>
  <si>
    <t>Priority and Submission Status recalculate themselves</t>
  </si>
  <si>
    <t>Anything set to Finished reads Expired and drops out of the Active Pipeline count.</t>
  </si>
  <si>
    <t>3. How Relevance was set on 04.09.2026</t>
  </si>
  <si>
    <t>The call for papers is open — the published submission deadline is still ahead</t>
  </si>
  <si>
    <t>15 entries.</t>
  </si>
  <si>
    <t>A future edition is confirmed, but submission has closed or no deadline is published</t>
  </si>
  <si>
    <t>13 entries — several still have a camera-ready, registration or payment date ahead.</t>
  </si>
  <si>
    <t>No future edition could be found, so the entry stays expired</t>
  </si>
  <si>
    <t>75 entries — as instructed, anything that could not be confirmed was left expired.</t>
  </si>
  <si>
    <t>4. Legend</t>
  </si>
  <si>
    <t>Colour / value</t>
  </si>
  <si>
    <t>Meaning</t>
  </si>
  <si>
    <t>Green</t>
  </si>
  <si>
    <t>Relevance High, a submission window still open, or an event running now</t>
  </si>
  <si>
    <t>Relevance, Submission Status, Days to Deadline</t>
  </si>
  <si>
    <t>Amber</t>
  </si>
  <si>
    <t>Relevance Mediocre, or a camera-ready / registration deadline still ahead</t>
  </si>
  <si>
    <t>Relevance, Submission Status</t>
  </si>
  <si>
    <t>Blue</t>
  </si>
  <si>
    <t>Submission closed but the event itself is still ahead</t>
  </si>
  <si>
    <t>Grey</t>
  </si>
  <si>
    <t>Relevance Finished / Expired / a date already passed</t>
  </si>
  <si>
    <t>Fee = Free</t>
  </si>
  <si>
    <t>Zero fee; the cell holds 0 with a “Free” display format</t>
  </si>
  <si>
    <t>Fee column</t>
  </si>
  <si>
    <t>Blank date cell</t>
  </si>
  <si>
    <t>The organisers publish no such milestone</t>
  </si>
  <si>
    <t>All five deadline columns</t>
  </si>
  <si>
    <t>“Not stated”</t>
  </si>
  <si>
    <t>The page does not say</t>
  </si>
  <si>
    <t>Indexing, Location, Format, Submission System</t>
  </si>
  <si>
    <t>Header comments</t>
  </si>
  <si>
    <t>Hover any header cell for that column's full definition</t>
  </si>
  <si>
    <t>Conferences sheet, row 1</t>
  </si>
  <si>
    <t>5. What the third pass changed</t>
  </si>
  <si>
    <t>Scale</t>
  </si>
  <si>
    <t>362 cell corrections plus 76 cells made explicit, across all 103 rows</t>
  </si>
  <si>
    <t>By field: 75 contacts, 38 indexing lines, 28 formats, 27 submission systems, 27 paper specifications, 19 venues, 24 date fields, 3 costs, 3 acronyms, 3 publishers, 2 titles, 1 edition. 102 of those cells had been blank. A further 76 cells that were blank because the organisers publish nothing now say so in words, so a gap can be told apart from an unchecked cell.</t>
  </si>
  <si>
    <t>Wrong fee schedules</t>
  </si>
  <si>
    <t>DESSERT, ACIT, DSMIE</t>
  </si>
  <si>
    <t>DESSERT-2026 was filed as "the registration fees page does not resolve"; it resolves and gives 300 / 260 / 240 / 200 / 150 EUR plus a 70 / 50 EUR online rate for Ukrainian participants. ACIT carried the 2026 euro table as if it were the 2027 one, with Fee = 0 wrongly implying a free conference; the 2027 fees are not published and the shared Payments page still describes ACIT'2026 in Zlin. DSMIE was filed as a "tracker figure, not restated on the current site"; the site publishes a full three-tier table.</t>
  </si>
  <si>
    <t>A wrong city</t>
  </si>
  <si>
    <t>STE(A)M 2026</t>
  </si>
  <si>
    <t>Recorded as Kryvyi Rih. The workshop page header says "May 13, 2026, Ternopil, Ukraine", ICon-MaSTEd's own workshop list says Ternopil, and both programme chairs sit at TNPU in Ternopil. Only the parent conference is in Kryvyi Rih.</t>
  </si>
  <si>
    <t>A wrong CEUR volume</t>
  </si>
  <si>
    <t>The tracked URL Vol-3966 is DTESI 2024 - the 9th edition, Almaty, 16-17 October 2024 - not the 2025 one. A sweep of the whole CEUR index shows the series stops there: no main volume exists for DTESI 2025. The 10th edition on 19-20 November 2025 is attested only by its four co-located workshop volumes, Vol-4224, Vol-4180, Vol-4193 and Vol-4204.</t>
  </si>
  <si>
    <t>Wrong workshop acronyms</t>
  </si>
  <si>
    <t>ISW-CoLInS, AICS-CoLInS, SNE</t>
  </si>
  <si>
    <t>Recorded as IS-CoLInS, PhD-AI-CoLInS and SKE. Each volume prints a different acronym of its own: ISW-CoLInS 2025 (Vol-3983), AICS-CoLInS 2025 (Vol-4015) and SNE 2025 (Vol-4193).</t>
  </si>
  <si>
    <t>Wrong submission systems</t>
  </si>
  <si>
    <t>CITI, ITTAP, ICSF</t>
  </si>
  <si>
    <t>CITI and ITTAP were filed as EasyChair; both name Microsoft CMT (cmt3.research.microsoft.com/CITI2026 and /ITTAP2026). ICSF was filed as HotCRP, but the link the page labels HotCRP actually points at Morressier.</t>
  </si>
  <si>
    <t>Wrong publishers</t>
  </si>
  <si>
    <t>MCEME, HC@AIxIA</t>
  </si>
  <si>
    <t>MCEME was filed as Springer; the 2026 site routes papers to two Lviv Polytechnic outlets - the "Ukrainian Journal of Mechanical Engineering and Materials Science" and "Automation of Industrial Processes in Mechanical Engineering and Instrumentation" - and mentions no Springer volume. HC@AIxIA was filed as CEUR; the call says the publication venue "is TBA, and will be unveiled later".</t>
  </si>
  <si>
    <t>Dates corrected</t>
  </si>
  <si>
    <t>IS, CIAW, UkrPROG, EXPLIMED</t>
  </si>
  <si>
    <t>IS registration closes 04.09.2026 for in-person participants; 25.08.2026 applies to online participants only. CIAW ran 26-27 September 2025, not 25-27 (CEUR Vol-4110); the parent CISS-2025 ran the full three days. UkrPROG 2025 ran two days, 13-14 May (Vol-4049). EXPLIMED submission was extended from 08.05 to 15.05.2026 and its own workshop days are 15-17 August, not the whole 15-21 August IJCAI-ECAI window.</t>
  </si>
  <si>
    <t>Missing deadlines added</t>
  </si>
  <si>
    <t>KhPIW, SMICS, AI4Cyber, WCDS, HC@AIxIA, DSMIE, HCI-SI, ATIT, SMARTINDUSTRY, EXPLIMED</t>
  </si>
  <si>
    <t>KhPIW fee payment 20.09.2026. SMICS, AI4Cyber and WCDS submission 07.09.2026 and notification 10.09.2026. HC@AIxIA notification 27.08, camera-ready 15.09, early registration 04.09.2026. DSMIE camera-ready 31.03.2026, which only the home page prints. HCI-SI submission 01.10 and notification 03.10.2025, both after extensions. ATIT registration 30.10.2024. SMARTINDUSTRY registration 26.03.2026. EXPLIMED abstract 11.05.2026.</t>
  </si>
  <si>
    <t>Locations and formats recovered</t>
  </si>
  <si>
    <t>MEMSTECH, ESS, ATIT, AISTDS, MoMLeT&amp;DS, CSIT, CMIS, DESSERT</t>
  </si>
  <si>
    <t>All eight read "Not stated" although their sites say otherwise: MEMSTECH is at Lviv Polytechnic in hybrid format, ESS at Igor Sikorsky KPI, ATIT at Ivan Franko National University of Lviv, AISTDS online via Zoom, MoMLeT&amp;DS online via Zoom, CSIT hybrid, CMIS in person and DESSERT hybrid.</t>
  </si>
  <si>
    <t>Contacts recovered</t>
  </si>
  <si>
    <t>68 rows that had no contact at all</t>
  </si>
  <si>
    <t>Taken from contact pages, calls for papers and volume editor lists, and by decoding the Cloudflare-obfuscated e-mail links on CMIS, ITEP, SMARTINDUSTRY, CIAW and ICTM. Where a site really publishes nothing, the cell now reads "Not published on the site".</t>
  </si>
  <si>
    <t>6. Where the sites themselves are inconsistent</t>
  </si>
  <si>
    <t>BAITmp-2026</t>
  </si>
  <si>
    <t>Three different event dates on one page</t>
  </si>
  <si>
    <t>The banner says "November 16-18, 2026", the dates-box header says "November 12-13, 2026", and "November 11-13, 2026" appears twice in the body. 11-13 November is kept here because it is the reading repeated in the call, but confirm with the organisers.</t>
  </si>
  <si>
    <t>MEMSTECH-2027</t>
  </si>
  <si>
    <t>Camera-ready listed before notification, and no submission deadline at all</t>
  </si>
  <si>
    <t>The page gives camera-ready 15.08.2027 and notification of acceptance 30.09.2027, in that order, and publishes no paper-submission date. Treat both dates as unreliable.</t>
  </si>
  <si>
    <t>ELNANO-2026</t>
  </si>
  <si>
    <t>Camera-ready before final acceptance - but deliberately so</t>
  </si>
  <si>
    <t>Reviewer response 01.02, camera-ready 15.02, final acceptance 01.03.2026: authors with positive reviews submit camera-ready first and acceptance is confirmed afterwards. Not an error, unlike MEMSTECH.</t>
  </si>
  <si>
    <t>SCIA 2027</t>
  </si>
  <si>
    <t>Abstract deadline falls after the paper deadline</t>
  </si>
  <si>
    <t>Papers close 26.01.2027 while the abstract window only opens 12.02 and closes 28.02.2027. They are separate tracks, so this is correct as recorded.</t>
  </si>
  <si>
    <t>AEQUITAS 2025</t>
  </si>
  <si>
    <t>Camera-ready printed with the wrong year</t>
  </si>
  <si>
    <t>The page reads "September 8th, 2024" inside a 2025 schedule; 08.09.2025 is the only coherent reading.</t>
  </si>
  <si>
    <t>ArgXAI 2025</t>
  </si>
  <si>
    <t>Host-conference window printed backwards</t>
  </si>
  <si>
    <t>The page gives ECAI 2025 as "25-20 October 2025", a typo for 25-30 October.</t>
  </si>
  <si>
    <t>Payments and Venue are shared pages that still describe the previous edition</t>
  </si>
  <si>
    <t>Both still show ACIT'2026 in Zlin, Czech Republic, with payment by 30.06.2026, while the ACIT'2027 page is Nitra, Slovakia, 13-15 September 2027.</t>
  </si>
  <si>
    <t>Banner and Important Dates disagree by a year</t>
  </si>
  <si>
    <t>The home banner advertises "JUNE 8-11, 2027 | To be announced soon" with a countdown running to 07.06.2027, while the Important Dates block on the same page still shows the 2026 schedule.</t>
  </si>
  <si>
    <t>Calls its parent conference the XVII edition</t>
  </si>
  <si>
    <t>ICon-MaSTEd 2026's own title says XVIII, and its history list confirms XVII was 2025. The workshop page is stale on this point.</t>
  </si>
  <si>
    <t>STIoT (Vol-4204)</t>
  </si>
  <si>
    <t>CEUR page title repeats another volume's name</t>
  </si>
  <si>
    <t>The HTML title reads "Workshop on Software and Knowledge Engineering 2025", which is Vol-4193's title; the volume body correctly reads STIoT 2025.</t>
  </si>
  <si>
    <t>CTE (Vol-4043)</t>
  </si>
  <si>
    <t>Volume labelled 2024, event held in 2025</t>
  </si>
  <si>
    <t>Titled "12th Workshop on Cloud Technologies in Education (CTE 2024)" but dated "Kryvyi Rih, Ukraine, May 12, 2025", co-located with ICHTML 2025.</t>
  </si>
  <si>
    <t>ICTM-2026</t>
  </si>
  <si>
    <t>Submission page never updated</t>
  </si>
  <si>
    <t>It still prints "29 - 30 October 2020" and an e-mail address carrying the 2024 year, while the home page correctly advertises 18-20 November 2026.</t>
  </si>
  <si>
    <t>Stale submission links</t>
  </si>
  <si>
    <t>ESS-2026, BAITmp-2026</t>
  </si>
  <si>
    <t>ESS points at cmt3.research.microsoft.com/ESS2024 and BAITmp at easychair.org/conferences?conf=bait2025. Both slugs are two years old; confirm before submitting.</t>
  </si>
  <si>
    <t>CSAM-2026</t>
  </si>
  <si>
    <t>Placeholder text still in the page footer</t>
  </si>
  <si>
    <t>The footer phone reads "+7 707 123 4567" and a Microsoft CMT acknowledgement sits under a Google Form submission route. The Contacts page carries the five real numbers.</t>
  </si>
  <si>
    <t>7. What could not be verified on the third pass</t>
  </si>
  <si>
    <t>Cloudflare bot check never clears; the call-for-papers PDF returns 403</t>
  </si>
  <si>
    <t>Edition, title, the 27-28 March 2026 dates, the Lviv venue and EasyChair submission were confirmed from the public CFP listing and the page title. The 30.01.2026 submission date is retained from the earlier pass and is unconfirmed, as is the "Free" cost.</t>
  </si>
  <si>
    <t>HTTP 404 on both https://www.isdmci.ks.ua/ and the bare domain</t>
  </si>
  <si>
    <t>This corrects the second pass, which reported a TLS mismatch. The site is simply gone, so every value in the row is unverified.</t>
  </si>
  <si>
    <t>HTTP 522 - the origin server does not respond</t>
  </si>
  <si>
    <t>Unchanged from the second pass. Treat the series as dormant.</t>
  </si>
  <si>
    <t>csitic.nure.ua no longer carries the 2024 programme</t>
  </si>
  <si>
    <t>Only the contact address could be recovered. The 21.09.2024 submission date and the 26.09.2024 event day are unverified.</t>
  </si>
  <si>
    <t>Site is still an unfilled template</t>
  </si>
  <si>
    <t>Alongside "Submission Deadline is January 2nd" - no year - it carries placeholder copy such as "December 12th at 8pm, ABC Hall" and a leftover 2024 pre-conference block. No conference dates were ever published.</t>
  </si>
  <si>
    <t>UkrPROG - reachable after all</t>
  </si>
  <si>
    <t>Corrects the second pass, which reported every URL returning 404</t>
  </si>
  <si>
    <t>iss.nas.gov.ua does respond, but it is the institute's general events page and now lists 2026 dates, so the 2025 schedule cannot be re-read from it. The event dates were corrected from CEUR Vol-4049 instead.</t>
  </si>
  <si>
    <t>BESD - reachable after all</t>
  </si>
  <si>
    <t>Corrects the second pass, which reported an expired certificate</t>
  </si>
  <si>
    <t>be-sd.org serves normally. The series is active, not dormant.</t>
  </si>
  <si>
    <t>8. Live findings the third pass turned up</t>
  </si>
  <si>
    <t>BESD 2026 exists</t>
  </si>
  <si>
    <t>Conference 24-25 September 2026, submission was 10 August 2026</t>
  </si>
  <si>
    <t>be-sd.org now advertises the 2026 edition with acceptance notification 25 August 2026 and staged milestones on 1-10 September, 11-15 September, 1-15 October, 15-25 October and 31 October 2026. The 2025 edition is no longer described on the site. Worth its own row - the submission window has already closed.</t>
  </si>
  <si>
    <t>DSMIE may have moved to 2027</t>
  </si>
  <si>
    <t>Banner says 8-11 June 2027, venue "to be announced soon"</t>
  </si>
  <si>
    <t>The countdown on the home page runs to 07.06.2027 while the Important Dates block still shows the 2026 schedule. Watch the site.</t>
  </si>
  <si>
    <t>AISTDS is the 10th edition</t>
  </si>
  <si>
    <t>Inferred, not stated on the 2026 site</t>
  </si>
  <si>
    <t>CEUR shows AISTDS 2024 as the 8th (Vol-3942, 01.10.2024) and AISTDS 2025 as the 9th (Vol-4133, 01.10.2025), so 2026 is the tenth. The Edition cell is marked "inferred" - confirm with the organisers.</t>
  </si>
  <si>
    <t>CIAW 2025 volume is out</t>
  </si>
  <si>
    <t>CEUR Vol-4110, published 30.11.2025</t>
  </si>
  <si>
    <t>The workshop page announces it. That volume is also what fixed the event dates to 26-27 September 2025.</t>
  </si>
  <si>
    <t>IT&amp;I workshop page is empty</t>
  </si>
  <si>
    <t>It reads only "Will be soon..."</t>
  </si>
  <si>
    <t>For the three IT&amp;I-WS rows the CEUR volumes - Vol-4158 (AITDS 2025), Vol-4170 (ISICP 2025) and Vol-3955 (ITIAS 2024) - are the only usable source. Vol-3933, previously listed under ITIAS, is a different workshop of the same conference (ISS).</t>
  </si>
  <si>
    <t>9. Events added from the CEUR-WS survey (04.09.2026)</t>
  </si>
  <si>
    <t>Why they are here</t>
  </si>
  <si>
    <t>26 rows added from a full sweep of the CEUR-WS volume index</t>
  </si>
  <si>
    <t>All 4,256 CEUR volumes were parsed, narrowed to the 2025-26 window, and 28 individual volume pages were opened and read. Everything Ukrainian-organised was added, whether or not it falls in a September-December window, including 2025 editions kept as placeholders to refresh when the 2026 calls appear.</t>
  </si>
  <si>
    <t>Blank deadline cells</t>
  </si>
  <si>
    <t>Deliberate, not an oversight</t>
  </si>
  <si>
    <t>A CEUR volume records the event date, venue and editors but never the submission deadlines. For rows whose 2026 call is not yet open, the five deadline columns are left blank for you to fill. The Verification Notes cell on each row says so explicitly.</t>
  </si>
  <si>
    <t>Sep-Dec, Ukrainian</t>
  </si>
  <si>
    <t>CPITS-II, WCDS, AI4Cyber, SMICS, IT&amp;I-WS (ISICP / AITDS / ITIAS), AIT&amp;AIS</t>
  </si>
  <si>
    <t>CPITS-II is the strongest: Kyiv, the only volume in the window whose CEUR metadata says “(online)”, 63 submissions, and held on 26 October three years running. SMICS-2026 and its two workshops are open now.</t>
  </si>
  <si>
    <t>Outside the window</t>
  </si>
  <si>
    <t>RS, ITPM, SPICIT, CQPC, CTE, UkrProg-IIT, IWSCI, three CoLInS satellites, MoMLeT-WS, MoDaST</t>
  </si>
  <si>
    <t>All Ukrainian and CEUR-published, mostly May-August. CTE is a notable gap - the table already held seven workshops from the same Semerikov / Vakaliuk family but not that one.</t>
  </si>
  <si>
    <t>Borderline rows</t>
  </si>
  <si>
    <t>DTESI and its four workshops, plus AIT</t>
  </si>
  <si>
    <t>Hosted at International IT University, Almaty, Kazakhstan, but co-edited by Kateryna Kolesnikova, who also holds Ukrainian affiliations. Filter on Location / Venue to exclude them.</t>
  </si>
  <si>
    <t>Deliberately NOT added</t>
  </si>
  <si>
    <t>9 non-Ukrainian look-alikes</t>
  </si>
  <si>
    <t>IAM (Guelma, Algeria - the CSAM name-twin), BigHPC (Turin), CITA-DW (Cotonou), ITAT (Slovakia), IVUS (Lithuania), ITASEC/SERICS (Italy), RTA-CSIT (Albania), ZiSE (Jena) and INTERACCION (Valladolid). Each was opened and ruled out on organiser nationality; adding them would only dilute the tracker.</t>
  </si>
  <si>
    <t>Full write-up</t>
  </si>
  <si>
    <t>CEUR_Ukrainian_Events_Sep-Dec_2026.md</t>
  </si>
  <si>
    <t>Sits beside this workbook and carries the method, the per-volume evidence, the watchlist and the verification status.</t>
  </si>
  <si>
    <t>10. Standing caveat</t>
  </si>
  <si>
    <t>Verify before submitting</t>
  </si>
  <si>
    <t>Deadlines in this set move often</t>
  </si>
  <si>
    <t>Ten of the 75 had already extended at least once by the time of this pass. Re-check the site before relying on any date, and treat the Verification Notes column as the record of what the page actually said on 04.09.2026.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</si>
</sst>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Free&quot;"/>
    <numFmt numFmtId="165" formatCode="dd\.mm\.yyyy"/>
    <numFmt numFmtId="166" formatCode="0.0%"/>
  </numFmts>
  <fonts count="13" x14ac:knownFonts="1">
    <font>
      <sz val="11"/>
      <color theme="1"/>
      <name val="Calibri"/>
      <family val="2"/>
      <scheme val="minor"/>
    </font>
    <font>
      <b/>
      <sz val="9.5"/>
      <color rgb="FFFFFFFF"/>
      <name val="Arial"/>
    </font>
    <font>
      <sz val="9.5"/>
      <color rgb="FF1F2937"/>
      <name val="Arial"/>
    </font>
    <font>
      <b/>
      <sz val="9.5"/>
      <color rgb="FF1F2937"/>
      <name val="Arial"/>
    </font>
    <font>
      <u/>
      <sz val="9.5"/>
      <color rgb="FF1155CC"/>
      <name val="Arial"/>
    </font>
    <font>
      <b/>
      <sz val="14"/>
      <color rgb="FF1F3864"/>
      <name val="Arial"/>
    </font>
    <font>
      <i/>
      <sz val="9"/>
      <color rgb="FF6B7280"/>
      <name val="Arial"/>
    </font>
    <font>
      <b/>
      <sz val="10"/>
      <color rgb="FFFFFFFF"/>
      <name val="Arial"/>
    </font>
    <font>
      <sz val="10"/>
      <color rgb="FF1F2937"/>
      <name val="Arial"/>
    </font>
    <font>
      <b/>
      <sz val="10"/>
      <color rgb="FF1F2937"/>
      <name val="Arial"/>
    </font>
    <font>
      <sz val="10"/>
      <color rgb="FF6B7280"/>
      <name val="Arial"/>
    </font>
    <font>
      <b/>
      <sz val="10"/>
      <color rgb="FF1E6B34"/>
      <name val="Arial"/>
    </font>
    <font>
      <b/>
      <sz val="12"/>
      <color rgb="FF1F3864"/>
      <name val="Arial"/>
    </font>
  </fonts>
  <fills count="5">
    <fill>
      <patternFill patternType="none"/>
    </fill>
    <fill>
      <patternFill patternType="gray125"/>
    </fill>
    <fill>
      <patternFill patternType="solid">
        <fgColor rgb="FF1F3864"/>
      </patternFill>
    </fill>
    <fill>
      <patternFill patternType="solid">
        <fgColor rgb="FF3A6BB5"/>
      </patternFill>
    </fill>
    <fill>
      <patternFill patternType="solid">
        <fgColor rgb="FFF2F5FA"/>
      </patternFill>
    </fill>
  </fills>
  <borders count="2">
    <border>
      <left/>
      <right/>
      <top/>
      <bottom/>
      <diagonal/>
    </border>
    <border>
      <left style="thin">
        <color rgb="FFD4D9E2"/>
      </left>
      <right style="thin">
        <color rgb="FFD4D9E2"/>
      </right>
      <top style="thin">
        <color rgb="FFD4D9E2"/>
      </top>
      <bottom style="thin">
        <color rgb="FFD4D9E2"/>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 fontId="2" fillId="0" borderId="1" xfId="0" applyNumberFormat="1" applyFont="1" applyBorder="1" applyAlignment="1">
      <alignment horizontal="center" vertical="top"/>
    </xf>
    <xf numFmtId="0" fontId="3" fillId="0" borderId="1" xfId="0" applyFont="1" applyBorder="1" applyAlignment="1">
      <alignment horizontal="left" vertical="top"/>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164" fontId="2" fillId="0" borderId="1" xfId="0" applyNumberFormat="1" applyFont="1" applyBorder="1" applyAlignment="1">
      <alignment horizontal="right" vertical="top"/>
    </xf>
    <xf numFmtId="165" fontId="2" fillId="0" borderId="1" xfId="0" applyNumberFormat="1" applyFont="1" applyBorder="1" applyAlignment="1">
      <alignment horizontal="center" vertical="top"/>
    </xf>
    <xf numFmtId="0" fontId="2" fillId="0" borderId="1" xfId="0" applyFont="1" applyBorder="1" applyAlignment="1">
      <alignment horizontal="center" vertical="top" wrapText="1"/>
    </xf>
    <xf numFmtId="0" fontId="4" fillId="0" borderId="1" xfId="0" applyFont="1" applyBorder="1" applyAlignment="1">
      <alignment horizontal="left" vertical="top" wrapText="1"/>
    </xf>
    <xf numFmtId="1" fontId="2" fillId="4" borderId="1" xfId="0" applyNumberFormat="1" applyFont="1" applyFill="1" applyBorder="1" applyAlignment="1">
      <alignment horizontal="center" vertical="top"/>
    </xf>
    <xf numFmtId="0" fontId="3" fillId="4" borderId="1" xfId="0" applyFont="1" applyFill="1" applyBorder="1" applyAlignment="1">
      <alignment horizontal="left" vertical="top"/>
    </xf>
    <xf numFmtId="0" fontId="2" fillId="4" borderId="1" xfId="0" applyFont="1" applyFill="1" applyBorder="1" applyAlignment="1">
      <alignment horizontal="center" vertical="top"/>
    </xf>
    <xf numFmtId="0" fontId="2" fillId="4" borderId="1" xfId="0" applyFont="1" applyFill="1" applyBorder="1" applyAlignment="1">
      <alignment horizontal="left" vertical="top" wrapText="1"/>
    </xf>
    <xf numFmtId="0" fontId="2" fillId="4" borderId="1" xfId="0" applyFont="1" applyFill="1" applyBorder="1" applyAlignment="1">
      <alignment horizontal="left" vertical="top"/>
    </xf>
    <xf numFmtId="164" fontId="2" fillId="4" borderId="1" xfId="0" applyNumberFormat="1" applyFont="1" applyFill="1" applyBorder="1" applyAlignment="1">
      <alignment horizontal="right" vertical="top"/>
    </xf>
    <xf numFmtId="165" fontId="2" fillId="4" borderId="1" xfId="0" applyNumberFormat="1" applyFont="1" applyFill="1" applyBorder="1" applyAlignment="1">
      <alignment horizontal="center" vertical="top"/>
    </xf>
    <xf numFmtId="0" fontId="2"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0" borderId="0" xfId="0" applyFont="1"/>
    <xf numFmtId="0" fontId="6" fillId="0" borderId="0" xfId="0" applyFont="1"/>
    <xf numFmtId="0" fontId="7" fillId="2" borderId="1" xfId="0" applyFont="1" applyFill="1" applyBorder="1"/>
    <xf numFmtId="0" fontId="8" fillId="0" borderId="1" xfId="0" applyFont="1" applyBorder="1"/>
    <xf numFmtId="1" fontId="9" fillId="0" borderId="1" xfId="0" applyNumberFormat="1" applyFont="1" applyBorder="1" applyAlignment="1">
      <alignment horizontal="center"/>
    </xf>
    <xf numFmtId="166" fontId="10" fillId="0" borderId="1" xfId="0" applyNumberFormat="1" applyFont="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0" borderId="1" xfId="0" applyFont="1" applyBorder="1"/>
    <xf numFmtId="0" fontId="7" fillId="2" borderId="1" xfId="0" applyFont="1" applyFill="1" applyBorder="1" applyAlignment="1">
      <alignment horizontal="center" vertical="center"/>
    </xf>
    <xf numFmtId="0" fontId="3" fillId="0" borderId="1" xfId="0" applyFont="1" applyBorder="1" applyAlignment="1">
      <alignment vertical="top"/>
    </xf>
    <xf numFmtId="0" fontId="12" fillId="0" borderId="0" xfId="0" applyFont="1"/>
    <xf numFmtId="0" fontId="8" fillId="0" borderId="0" xfId="0" applyFont="1" applyAlignment="1">
      <alignment vertical="top" wrapText="1"/>
    </xf>
    <xf numFmtId="0" fontId="9" fillId="0" borderId="0" xfId="0" applyFont="1" applyAlignment="1">
      <alignment vertical="top" wrapText="1"/>
    </xf>
  </cellXfs>
  <cellStyles count="1">
    <cellStyle name="Normal" xfId="0" builtinId="0"/>
  </cellStyles>
  <dxfs count="23">
    <dxf>
      <font>
        <b/>
        <sz val="9.5"/>
        <color rgb="FF6B7280"/>
        <name val="Arial"/>
      </font>
      <fill>
        <patternFill patternType="solid">
          <bgColor rgb="FFEDEDED"/>
        </patternFill>
      </fill>
    </dxf>
    <dxf>
      <font>
        <b/>
        <sz val="9.5"/>
        <color rgb="FF1F4E79"/>
        <name val="Arial"/>
      </font>
      <fill>
        <patternFill patternType="solid">
          <bgColor rgb="FFDDEBF7"/>
        </patternFill>
      </fill>
    </dxf>
    <dxf>
      <font>
        <b/>
        <sz val="9.5"/>
        <color rgb="FF8A6100"/>
        <name val="Arial"/>
      </font>
      <fill>
        <patternFill patternType="solid">
          <bgColor rgb="FFFFF2CC"/>
        </patternFill>
      </fill>
    </dxf>
    <dxf>
      <font>
        <b/>
        <sz val="9.5"/>
        <color rgb="FF8A6100"/>
        <name val="Arial"/>
      </font>
      <fill>
        <patternFill patternType="solid">
          <bgColor rgb="FFFFF2CC"/>
        </patternFill>
      </fill>
    </dxf>
    <dxf>
      <font>
        <b/>
        <sz val="9.5"/>
        <color rgb="FF8A6100"/>
        <name val="Arial"/>
      </font>
      <fill>
        <patternFill patternType="solid">
          <bgColor rgb="FFFFF2CC"/>
        </patternFill>
      </fill>
    </dxf>
    <dxf>
      <font>
        <b/>
        <sz val="9.5"/>
        <color rgb="FF1E6B34"/>
        <name val="Arial"/>
      </font>
      <fill>
        <patternFill patternType="solid">
          <bgColor rgb="FFE2EFDA"/>
        </patternFill>
      </fill>
    </dxf>
    <dxf>
      <font>
        <b/>
        <sz val="9.5"/>
        <color rgb="FF1E6B34"/>
        <name val="Arial"/>
      </font>
      <fill>
        <patternFill patternType="solid">
          <bgColor rgb="FFE2EFDA"/>
        </patternFill>
      </fill>
    </dxf>
    <dxf>
      <font>
        <b/>
        <sz val="9.5"/>
        <color rgb="FF1E6B34"/>
        <name val="Arial"/>
      </font>
      <fill>
        <patternFill patternType="solid">
          <bgColor rgb="FFE2EFDA"/>
        </patternFill>
      </fill>
    </dxf>
    <dxf>
      <font>
        <b/>
        <sz val="9.5"/>
        <color rgb="FF8A6100"/>
        <name val="Arial"/>
      </font>
      <fill>
        <patternFill patternType="solid">
          <bgColor rgb="FFFFF2CC"/>
        </patternFill>
      </fill>
    </dxf>
    <dxf>
      <font>
        <b/>
        <sz val="9.5"/>
        <color rgb="FF1E6B34"/>
        <name val="Arial"/>
      </font>
      <fill>
        <patternFill patternType="solid">
          <bgColor rgb="FFE2EFDA"/>
        </patternFill>
      </fill>
    </dxf>
    <dxf>
      <font>
        <b/>
        <sz val="9.5"/>
        <color rgb="FF6B7280"/>
        <name val="Arial"/>
      </font>
      <fill>
        <patternFill patternType="solid">
          <bgColor rgb="FFEDEDED"/>
        </patternFill>
      </fill>
    </dxf>
    <dxf>
      <font>
        <b/>
        <sz val="9.5"/>
        <color rgb="FF1F4E79"/>
        <name val="Arial"/>
      </font>
      <fill>
        <patternFill patternType="solid">
          <bgColor rgb="FFDDEBF7"/>
        </patternFill>
      </fill>
    </dxf>
    <dxf>
      <font>
        <b/>
        <sz val="9.5"/>
        <color rgb="FF8A6100"/>
        <name val="Arial"/>
      </font>
      <fill>
        <patternFill patternType="solid">
          <bgColor rgb="FFFFF2CC"/>
        </patternFill>
      </fill>
    </dxf>
    <dxf>
      <font>
        <b/>
        <sz val="9.5"/>
        <color rgb="FF8A6100"/>
        <name val="Arial"/>
      </font>
      <fill>
        <patternFill patternType="solid">
          <bgColor rgb="FFFFF2CC"/>
        </patternFill>
      </fill>
    </dxf>
    <dxf>
      <font>
        <b/>
        <sz val="9.5"/>
        <color rgb="FF8A6100"/>
        <name val="Arial"/>
      </font>
      <fill>
        <patternFill patternType="solid">
          <bgColor rgb="FFFFF2CC"/>
        </patternFill>
      </fill>
    </dxf>
    <dxf>
      <font>
        <b/>
        <sz val="9.5"/>
        <color rgb="FF1E6B34"/>
        <name val="Arial"/>
      </font>
      <fill>
        <patternFill patternType="solid">
          <bgColor rgb="FFE2EFDA"/>
        </patternFill>
      </fill>
    </dxf>
    <dxf>
      <font>
        <b/>
        <sz val="9.5"/>
        <color rgb="FF1E6B34"/>
        <name val="Arial"/>
      </font>
      <fill>
        <patternFill patternType="solid">
          <bgColor rgb="FFE2EFDA"/>
        </patternFill>
      </fill>
    </dxf>
    <dxf>
      <font>
        <b/>
        <sz val="9.5"/>
        <color rgb="FF1E6B34"/>
        <name val="Arial"/>
      </font>
      <fill>
        <patternFill patternType="solid">
          <bgColor rgb="FFE2EFDA"/>
        </patternFill>
      </fill>
    </dxf>
    <dxf>
      <font>
        <b/>
        <sz val="9.5"/>
        <color rgb="FF1E6B34"/>
        <name val="Arial"/>
      </font>
    </dxf>
    <dxf>
      <font>
        <sz val="9.5"/>
        <color rgb="FF6B7280"/>
        <name val="Arial"/>
      </font>
    </dxf>
    <dxf>
      <font>
        <b/>
        <sz val="9.5"/>
        <color rgb="FF6B7280"/>
        <name val="Arial"/>
      </font>
      <fill>
        <patternFill patternType="solid">
          <bgColor rgb="FFEDEDED"/>
        </patternFill>
      </fill>
    </dxf>
    <dxf>
      <font>
        <b/>
        <sz val="9.5"/>
        <color rgb="FF8A6100"/>
        <name val="Arial"/>
      </font>
      <fill>
        <patternFill patternType="solid">
          <bgColor rgb="FFFFF2CC"/>
        </patternFill>
      </fill>
    </dxf>
    <dxf>
      <font>
        <b/>
        <sz val="9.5"/>
        <color rgb="FF1E6B34"/>
        <name val="Arial"/>
      </font>
      <fill>
        <patternFill patternType="solid">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sit.ieee.org.ua/call-for-papers/" TargetMode="External"/><Relationship Id="rId21" Type="http://schemas.openxmlformats.org/officeDocument/2006/relationships/hyperlink" Target="https://xai-it.github.io/call.html" TargetMode="External"/><Relationship Id="rId42" Type="http://schemas.openxmlformats.org/officeDocument/2006/relationships/hyperlink" Target="https://intsol.knu.ua/" TargetMode="External"/><Relationship Id="rId47" Type="http://schemas.openxmlformats.org/officeDocument/2006/relationships/hyperlink" Target="https://aequitas-aod.github.io/aequitas-ecai25.github.io/dates.html" TargetMode="External"/><Relationship Id="rId63" Type="http://schemas.openxmlformats.org/officeDocument/2006/relationships/hyperlink" Target="https://apps.ucu.edu.ua/en/ms-amlv-2026/" TargetMode="External"/><Relationship Id="rId68" Type="http://schemas.openxmlformats.org/officeDocument/2006/relationships/hyperlink" Target="https://unlp.org.ua/call-for-papers/" TargetMode="External"/><Relationship Id="rId84" Type="http://schemas.openxmlformats.org/officeDocument/2006/relationships/hyperlink" Target="https://cpits.kubg.edu.ua/" TargetMode="External"/><Relationship Id="rId89" Type="http://schemas.openxmlformats.org/officeDocument/2006/relationships/hyperlink" Target="https://ceur-ws.org/Vol-3983/" TargetMode="External"/><Relationship Id="rId16" Type="http://schemas.openxmlformats.org/officeDocument/2006/relationships/hyperlink" Target="https://icteri.org/icteri-2026/important-dates/" TargetMode="External"/><Relationship Id="rId11" Type="http://schemas.openxmlformats.org/officeDocument/2006/relationships/hyperlink" Target="https://2027.fedcsis.org/" TargetMode="External"/><Relationship Id="rId32" Type="http://schemas.openxmlformats.org/officeDocument/2006/relationships/hyperlink" Target="https://csitic.nure.ua/" TargetMode="External"/><Relationship Id="rId37" Type="http://schemas.openxmlformats.org/officeDocument/2006/relationships/hyperlink" Target="https://ans.kai.edu.ua/wda/" TargetMode="External"/><Relationship Id="rId53" Type="http://schemas.openxmlformats.org/officeDocument/2006/relationships/hyperlink" Target="https://science.lpnu.ua/ciss-2025" TargetMode="External"/><Relationship Id="rId58" Type="http://schemas.openxmlformats.org/officeDocument/2006/relationships/hyperlink" Target="https://ess.ieee.org.ua/" TargetMode="External"/><Relationship Id="rId74" Type="http://schemas.openxmlformats.org/officeDocument/2006/relationships/hyperlink" Target="http://kiis.khmnu.edu.ua/icyberphys-2026/" TargetMode="External"/><Relationship Id="rId79" Type="http://schemas.openxmlformats.org/officeDocument/2006/relationships/hyperlink" Target="https://ceur-ws.org/Vol-4014/" TargetMode="External"/><Relationship Id="rId102" Type="http://schemas.openxmlformats.org/officeDocument/2006/relationships/hyperlink" Target="https://ceur-ws.org/Vol-4204/" TargetMode="External"/><Relationship Id="rId5" Type="http://schemas.openxmlformats.org/officeDocument/2006/relationships/hyperlink" Target="https://bait.tntu.edu.ua/" TargetMode="External"/><Relationship Id="rId90" Type="http://schemas.openxmlformats.org/officeDocument/2006/relationships/hyperlink" Target="http://iti.fit.univ.kiev.ua/en/workshops/" TargetMode="External"/><Relationship Id="rId95" Type="http://schemas.openxmlformats.org/officeDocument/2006/relationships/hyperlink" Target="https://ceur-ws.org/Vol-4035/" TargetMode="External"/><Relationship Id="rId22" Type="http://schemas.openxmlformats.org/officeDocument/2006/relationships/hyperlink" Target="https://science.lpnu.ua/mceme-2026" TargetMode="External"/><Relationship Id="rId27" Type="http://schemas.openxmlformats.org/officeDocument/2006/relationships/hyperlink" Target="http://iti.fit.univ.kiev.ua/en/home-2/" TargetMode="External"/><Relationship Id="rId43" Type="http://schemas.openxmlformats.org/officeDocument/2006/relationships/hyperlink" Target="https://aredu.easyscience.education/aredu2025/" TargetMode="External"/><Relationship Id="rId48" Type="http://schemas.openxmlformats.org/officeDocument/2006/relationships/hyperlink" Target="https://csdp.lpnu.ua/" TargetMode="External"/><Relationship Id="rId64" Type="http://schemas.openxmlformats.org/officeDocument/2006/relationships/hyperlink" Target="https://dsmie.sumdu.edu.ua/schedule/important-dates.html" TargetMode="External"/><Relationship Id="rId69" Type="http://schemas.openxmlformats.org/officeDocument/2006/relationships/hyperlink" Target="https://pz.zp.ua/cmis/" TargetMode="External"/><Relationship Id="rId80" Type="http://schemas.openxmlformats.org/officeDocument/2006/relationships/hyperlink" Target="https://kkn.chnu.edu.ua/en/aitais/" TargetMode="External"/><Relationship Id="rId85" Type="http://schemas.openxmlformats.org/officeDocument/2006/relationships/hyperlink" Target="https://ceur-ws.org/Vol-4016/" TargetMode="External"/><Relationship Id="rId12" Type="http://schemas.openxmlformats.org/officeDocument/2006/relationships/hyperlink" Target="https://momlet.in.ua/important-dates/" TargetMode="External"/><Relationship Id="rId17" Type="http://schemas.openxmlformats.org/officeDocument/2006/relationships/hyperlink" Target="https://khpiweek.ieee.org.ua/" TargetMode="External"/><Relationship Id="rId33" Type="http://schemas.openxmlformats.org/officeDocument/2006/relationships/hyperlink" Target="https://sites.google.com/view/beware2024" TargetMode="External"/><Relationship Id="rId38" Type="http://schemas.openxmlformats.org/officeDocument/2006/relationships/hyperlink" Target="http://saic.ieee.org.ua/" TargetMode="External"/><Relationship Id="rId59" Type="http://schemas.openxmlformats.org/officeDocument/2006/relationships/hyperlink" Target="https://tcset.ieee.org.ua/" TargetMode="External"/><Relationship Id="rId103" Type="http://schemas.openxmlformats.org/officeDocument/2006/relationships/hyperlink" Target="https://ceur-ws.org/Vol-4049/" TargetMode="External"/><Relationship Id="rId20" Type="http://schemas.openxmlformats.org/officeDocument/2006/relationships/hyperlink" Target="https://icst-conf.com/" TargetMode="External"/><Relationship Id="rId41" Type="http://schemas.openxmlformats.org/officeDocument/2006/relationships/hyperlink" Target="https://decat.eae.com.ua/" TargetMode="External"/><Relationship Id="rId54" Type="http://schemas.openxmlformats.org/officeDocument/2006/relationships/hyperlink" Target="https://secs.knute.edu.ua/2025/index.html" TargetMode="External"/><Relationship Id="rId62" Type="http://schemas.openxmlformats.org/officeDocument/2006/relationships/hyperlink" Target="https://stem.easyscience.education/2026/" TargetMode="External"/><Relationship Id="rId70" Type="http://schemas.openxmlformats.org/officeDocument/2006/relationships/hyperlink" Target="https://aisd.wunu.edu.ua/" TargetMode="External"/><Relationship Id="rId75" Type="http://schemas.openxmlformats.org/officeDocument/2006/relationships/hyperlink" Target="http://kiis.khmnu.edu.ua/intelitsis-2026/" TargetMode="External"/><Relationship Id="rId83" Type="http://schemas.openxmlformats.org/officeDocument/2006/relationships/hyperlink" Target="http://colins.in.ua/" TargetMode="External"/><Relationship Id="rId88" Type="http://schemas.openxmlformats.org/officeDocument/2006/relationships/hyperlink" Target="https://hci.si/" TargetMode="External"/><Relationship Id="rId91" Type="http://schemas.openxmlformats.org/officeDocument/2006/relationships/hyperlink" Target="http://iti.fit.univ.kiev.ua/en/workshops/" TargetMode="External"/><Relationship Id="rId96" Type="http://schemas.openxmlformats.org/officeDocument/2006/relationships/hyperlink" Target="https://ceur-ws.org/Vol-4005/" TargetMode="External"/><Relationship Id="rId1" Type="http://schemas.openxmlformats.org/officeDocument/2006/relationships/hyperlink" Target="https://csam.kaznu.kz/en" TargetMode="External"/><Relationship Id="rId6" Type="http://schemas.openxmlformats.org/officeDocument/2006/relationships/hyperlink" Target="https://ictm.khai.edu/" TargetMode="External"/><Relationship Id="rId15" Type="http://schemas.openxmlformats.org/officeDocument/2006/relationships/hyperlink" Target="https://smics.lnu.edu.ua/" TargetMode="External"/><Relationship Id="rId23" Type="http://schemas.openxmlformats.org/officeDocument/2006/relationships/hyperlink" Target="https://ittap.tntu.edu.ua/" TargetMode="External"/><Relationship Id="rId28" Type="http://schemas.openxmlformats.org/officeDocument/2006/relationships/hyperlink" Target="https://memstech.ieee.org.ua/" TargetMode="External"/><Relationship Id="rId36" Type="http://schemas.openxmlformats.org/officeDocument/2006/relationships/hyperlink" Target="https://corpora.kamts1.kpi.ua/cad" TargetMode="External"/><Relationship Id="rId49" Type="http://schemas.openxmlformats.org/officeDocument/2006/relationships/hyperlink" Target="https://people.cs.umu.se/tkampik/argxai/2025.html" TargetMode="External"/><Relationship Id="rId57" Type="http://schemas.openxmlformats.org/officeDocument/2006/relationships/hyperlink" Target="http://kiis.khmnu.edu.ua/advait-2025/" TargetMode="External"/><Relationship Id="rId10" Type="http://schemas.openxmlformats.org/officeDocument/2006/relationships/hyperlink" Target="https://acit.tech/index.php/acit2027" TargetMode="External"/><Relationship Id="rId31" Type="http://schemas.openxmlformats.org/officeDocument/2006/relationships/hyperlink" Target="https://atit.ieee.org.ua/" TargetMode="External"/><Relationship Id="rId44" Type="http://schemas.openxmlformats.org/officeDocument/2006/relationships/hyperlink" Target="https://iss.nas.gov.ua/" TargetMode="External"/><Relationship Id="rId52" Type="http://schemas.openxmlformats.org/officeDocument/2006/relationships/hyperlink" Target="https://science.lpnu.ua/ciss-2025/workshop-ciaw-2025" TargetMode="External"/><Relationship Id="rId60" Type="http://schemas.openxmlformats.org/officeDocument/2006/relationships/hyperlink" Target="https://elnano.ieee.org.ua/for-authors/" TargetMode="External"/><Relationship Id="rId65" Type="http://schemas.openxmlformats.org/officeDocument/2006/relationships/hyperlink" Target="https://science.lpnu.ua/smartindustry-2026" TargetMode="External"/><Relationship Id="rId73" Type="http://schemas.openxmlformats.org/officeDocument/2006/relationships/hyperlink" Target="https://science.lpnu.ua/synergy-terra" TargetMode="External"/><Relationship Id="rId78" Type="http://schemas.openxmlformats.org/officeDocument/2006/relationships/hyperlink" Target="https://ceur-ws.org/Vol-4224/" TargetMode="External"/><Relationship Id="rId81" Type="http://schemas.openxmlformats.org/officeDocument/2006/relationships/hyperlink" Target="https://ceur-ws.org/Vol-4180/" TargetMode="External"/><Relationship Id="rId86" Type="http://schemas.openxmlformats.org/officeDocument/2006/relationships/hyperlink" Target="https://ceur-ws.org/Vol-4043/" TargetMode="External"/><Relationship Id="rId94" Type="http://schemas.openxmlformats.org/officeDocument/2006/relationships/hyperlink" Target="https://its.ipri.kiev.ua/" TargetMode="External"/><Relationship Id="rId99" Type="http://schemas.openxmlformats.org/officeDocument/2006/relationships/hyperlink" Target="https://ceur-ws.org/Vol-4225/" TargetMode="External"/><Relationship Id="rId101" Type="http://schemas.openxmlformats.org/officeDocument/2006/relationships/hyperlink" Target="https://ceur-ws.org/Vol-4150/" TargetMode="External"/><Relationship Id="rId4" Type="http://schemas.openxmlformats.org/officeDocument/2006/relationships/hyperlink" Target="https://citi.tntu.edu.ua/" TargetMode="External"/><Relationship Id="rId9" Type="http://schemas.openxmlformats.org/officeDocument/2006/relationships/hyperlink" Target="https://www.idaacs.net/2027" TargetMode="External"/><Relationship Id="rId13" Type="http://schemas.openxmlformats.org/officeDocument/2006/relationships/hyperlink" Target="https://smics.lnu.edu.ua/" TargetMode="External"/><Relationship Id="rId18" Type="http://schemas.openxmlformats.org/officeDocument/2006/relationships/hyperlink" Target="https://ieee-is-2026.blockchain2.uni-plovdiv.net/" TargetMode="External"/><Relationship Id="rId39" Type="http://schemas.openxmlformats.org/officeDocument/2006/relationships/hyperlink" Target="https://be-sd.org/" TargetMode="External"/><Relationship Id="rId34" Type="http://schemas.openxmlformats.org/officeDocument/2006/relationships/hyperlink" Target="https://ans.kai.edu.ua/adp/" TargetMode="External"/><Relationship Id="rId50" Type="http://schemas.openxmlformats.org/officeDocument/2006/relationships/hyperlink" Target="https://digitransfed.ztu.edu.ua/" TargetMode="External"/><Relationship Id="rId55" Type="http://schemas.openxmlformats.org/officeDocument/2006/relationships/hyperlink" Target="https://science.lpnu.ua/iddm-2025" TargetMode="External"/><Relationship Id="rId76" Type="http://schemas.openxmlformats.org/officeDocument/2006/relationships/hyperlink" Target="http://cyberconf.kai.edu.ua/" TargetMode="External"/><Relationship Id="rId97" Type="http://schemas.openxmlformats.org/officeDocument/2006/relationships/hyperlink" Target="https://ceur-ws.org/Vol-4004/" TargetMode="External"/><Relationship Id="rId104" Type="http://schemas.openxmlformats.org/officeDocument/2006/relationships/vmlDrawing" Target="../drawings/vmlDrawing1.vml"/><Relationship Id="rId7" Type="http://schemas.openxmlformats.org/officeDocument/2006/relationships/hyperlink" Target="https://edge.easyscience.education/2027/" TargetMode="External"/><Relationship Id="rId71" Type="http://schemas.openxmlformats.org/officeDocument/2006/relationships/hyperlink" Target="https://science.lpnu.ua/itep-2026" TargetMode="External"/><Relationship Id="rId92" Type="http://schemas.openxmlformats.org/officeDocument/2006/relationships/hyperlink" Target="http://iti.fit.univ.kiev.ua/en/workshops/" TargetMode="External"/><Relationship Id="rId2" Type="http://schemas.openxmlformats.org/officeDocument/2006/relationships/hyperlink" Target="https://aistis.knu.ua/how-to-submit/" TargetMode="External"/><Relationship Id="rId29" Type="http://schemas.openxmlformats.org/officeDocument/2006/relationships/hyperlink" Target="https://sites.google.com/view/daoxai2024" TargetMode="External"/><Relationship Id="rId24" Type="http://schemas.openxmlformats.org/officeDocument/2006/relationships/hyperlink" Target="https://hcaixia2026.unical.it/call-for-papers/" TargetMode="External"/><Relationship Id="rId40" Type="http://schemas.openxmlformats.org/officeDocument/2006/relationships/hyperlink" Target="https://icsf.easyscience.education/2025/" TargetMode="External"/><Relationship Id="rId45" Type="http://schemas.openxmlformats.org/officeDocument/2006/relationships/hyperlink" Target="https://ans.kai.edu.ua/cmse/" TargetMode="External"/><Relationship Id="rId66" Type="http://schemas.openxmlformats.org/officeDocument/2006/relationships/hyperlink" Target="https://cpits.kubg.edu.ua/" TargetMode="External"/><Relationship Id="rId87" Type="http://schemas.openxmlformats.org/officeDocument/2006/relationships/hyperlink" Target="https://ceur-ws.org/Vol-3966/" TargetMode="External"/><Relationship Id="rId61" Type="http://schemas.openxmlformats.org/officeDocument/2006/relationships/hyperlink" Target="https://icon-masted.easyscience.education/2026/" TargetMode="External"/><Relationship Id="rId82" Type="http://schemas.openxmlformats.org/officeDocument/2006/relationships/hyperlink" Target="https://ceur-ws.org/Vol-3976/" TargetMode="External"/><Relationship Id="rId19" Type="http://schemas.openxmlformats.org/officeDocument/2006/relationships/hyperlink" Target="https://icst-conf.com/" TargetMode="External"/><Relationship Id="rId14" Type="http://schemas.openxmlformats.org/officeDocument/2006/relationships/hyperlink" Target="https://smics.lnu.edu.ua/" TargetMode="External"/><Relationship Id="rId30" Type="http://schemas.openxmlformats.org/officeDocument/2006/relationships/hyperlink" Target="https://science.lpnu.ua/dter-2024" TargetMode="External"/><Relationship Id="rId35" Type="http://schemas.openxmlformats.org/officeDocument/2006/relationships/hyperlink" Target="https://reci.fri.uniza.sk/" TargetMode="External"/><Relationship Id="rId56" Type="http://schemas.openxmlformats.org/officeDocument/2006/relationships/hyperlink" Target="https://cssesw.easyscience.education/cssesw2025/" TargetMode="External"/><Relationship Id="rId77" Type="http://schemas.openxmlformats.org/officeDocument/2006/relationships/hyperlink" Target="https://khai.edu/en/international-workshop-of-it-professionals-on-artificial-intelligence-profit-ai" TargetMode="External"/><Relationship Id="rId100" Type="http://schemas.openxmlformats.org/officeDocument/2006/relationships/hyperlink" Target="https://ceur-ws.org/Vol-4193/" TargetMode="External"/><Relationship Id="rId105" Type="http://schemas.openxmlformats.org/officeDocument/2006/relationships/comments" Target="../comments1.xml"/><Relationship Id="rId8" Type="http://schemas.openxmlformats.org/officeDocument/2006/relationships/hyperlink" Target="https://scia2027.org/" TargetMode="External"/><Relationship Id="rId51" Type="http://schemas.openxmlformats.org/officeDocument/2006/relationships/hyperlink" Target="https://skid.lpnu.ua/?page_id=220" TargetMode="External"/><Relationship Id="rId72" Type="http://schemas.openxmlformats.org/officeDocument/2006/relationships/hyperlink" Target="https://sites.google.com/view/easi-explimed/" TargetMode="External"/><Relationship Id="rId93" Type="http://schemas.openxmlformats.org/officeDocument/2006/relationships/hyperlink" Target="https://ceur-ws.org/Vol-4023/" TargetMode="External"/><Relationship Id="rId98" Type="http://schemas.openxmlformats.org/officeDocument/2006/relationships/hyperlink" Target="https://ceur-ws.org/Vol-4015/" TargetMode="External"/><Relationship Id="rId3" Type="http://schemas.openxmlformats.org/officeDocument/2006/relationships/hyperlink" Target="https://science.lpnu.ua/atric-2026" TargetMode="External"/><Relationship Id="rId25" Type="http://schemas.openxmlformats.org/officeDocument/2006/relationships/hyperlink" Target="https://www.dessert-conf.org/dessert-2026/" TargetMode="External"/><Relationship Id="rId46" Type="http://schemas.openxmlformats.org/officeDocument/2006/relationships/hyperlink" Target="https://www.isdmci.ks.ua/" TargetMode="External"/><Relationship Id="rId67" Type="http://schemas.openxmlformats.org/officeDocument/2006/relationships/hyperlink" Target="https://ist.fit.knu.ua/scientificconference/konf202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4"/>
  <sheetViews>
    <sheetView tabSelected="1" workbookViewId="0">
      <pane xSplit="2" ySplit="1" topLeftCell="C2" activePane="bottomRight" state="frozen"/>
      <selection pane="topRight"/>
      <selection pane="bottomLeft"/>
      <selection pane="bottomRight"/>
    </sheetView>
  </sheetViews>
  <sheetFormatPr defaultRowHeight="14.5" x14ac:dyDescent="0.35"/>
  <cols>
    <col min="1" max="1" width="5" customWidth="1"/>
    <col min="2" max="2" width="16" customWidth="1"/>
    <col min="3" max="3" width="6.453125" customWidth="1"/>
    <col min="4" max="4" width="8.453125" customWidth="1"/>
    <col min="5" max="5" width="46" customWidth="1"/>
    <col min="6" max="6" width="19" customWidth="1"/>
    <col min="7" max="7" width="11" customWidth="1"/>
    <col min="8" max="8" width="7.453125" customWidth="1"/>
    <col min="9" max="9" width="14" customWidth="1"/>
    <col min="10" max="10" width="30" customWidth="1"/>
    <col min="11" max="11" width="34" customWidth="1"/>
    <col min="12" max="13" width="8.453125" customWidth="1"/>
    <col min="14" max="18" width="11.453125" customWidth="1"/>
    <col min="19" max="19" width="26" customWidth="1"/>
    <col min="20" max="21" width="11.453125" customWidth="1"/>
    <col min="22" max="22" width="34" customWidth="1"/>
    <col min="23" max="23" width="15" customWidth="1"/>
    <col min="24" max="24" width="10.453125" customWidth="1"/>
    <col min="25" max="25" width="19" customWidth="1"/>
    <col min="26" max="26" width="20" customWidth="1"/>
    <col min="27" max="27" width="30" customWidth="1"/>
    <col min="28" max="28" width="34" customWidth="1"/>
    <col min="29" max="29" width="16" customWidth="1"/>
    <col min="30" max="30" width="22" customWidth="1"/>
    <col min="31" max="31" width="11.453125" customWidth="1"/>
    <col min="32" max="32" width="64" customWidth="1"/>
    <col min="33" max="33" width="11.453125" customWidth="1"/>
  </cols>
  <sheetData>
    <row r="1" spans="1:33" ht="46" customHeight="1" x14ac:dyDescent="0.3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row>
    <row r="2" spans="1:33" ht="132" customHeight="1" x14ac:dyDescent="0.35">
      <c r="A2" s="3">
        <v>1</v>
      </c>
      <c r="B2" s="4" t="s">
        <v>33</v>
      </c>
      <c r="C2" s="3">
        <v>2026</v>
      </c>
      <c r="D2" s="5" t="s">
        <v>34</v>
      </c>
      <c r="E2" s="6" t="s">
        <v>35</v>
      </c>
      <c r="F2" s="7" t="s">
        <v>36</v>
      </c>
      <c r="G2" s="5" t="s">
        <v>37</v>
      </c>
      <c r="H2" s="3">
        <f t="shared" ref="H2:H33" si="0">IF($G2="High",1,IF($G2="Mediocre",2,3))</f>
        <v>1</v>
      </c>
      <c r="I2" s="7" t="s">
        <v>38</v>
      </c>
      <c r="J2" s="6" t="s">
        <v>39</v>
      </c>
      <c r="K2" s="6" t="s">
        <v>40</v>
      </c>
      <c r="L2" s="8"/>
      <c r="M2" s="5"/>
      <c r="N2" s="9"/>
      <c r="O2" s="9">
        <v>46280</v>
      </c>
      <c r="P2" s="9">
        <v>46295</v>
      </c>
      <c r="Q2" s="9">
        <v>46305</v>
      </c>
      <c r="R2" s="9"/>
      <c r="S2" s="6" t="s">
        <v>41</v>
      </c>
      <c r="T2" s="9">
        <v>46302</v>
      </c>
      <c r="U2" s="9">
        <v>46306</v>
      </c>
      <c r="V2" s="6" t="s">
        <v>42</v>
      </c>
      <c r="W2" s="6" t="s">
        <v>43</v>
      </c>
      <c r="X2" s="3">
        <f t="shared" ref="X2:X33" ca="1" si="1">IF(O2="","",INT(O2)-TODAY())</f>
        <v>11</v>
      </c>
      <c r="Y2" s="10" t="str">
        <f t="shared" ref="Y2:Y33" ca="1" si="2">IF($G2="Finished","Expired",IF(AND(O2&lt;&gt;"",INT(O2)&gt;=TODAY()),IF(INT(O2)-TODAY()&lt;=30,"Open - closing soon","Open"),IF(AND(T2&lt;&gt;"",U2&lt;&gt;"",INT(T2)&lt;=TODAY(),INT(U2)&gt;=TODAY()),"Event in progress",IF(AND(O2="",R2&lt;&gt;"",INT(R2)&gt;=TODAY()),"Registration due",IF(AND(O2="",U2&lt;&gt;"",INT(U2)&gt;=TODAY()),"Deadline not published",IF(AND(O2&lt;&gt;"",Q2&lt;&gt;"",INT(Q2)&gt;=TODAY()),"Camera-ready due",IF(AND(O2&lt;&gt;"",R2&lt;&gt;"",INT(R2)&gt;=TODAY()),"Registration due",IF(AND(U2&lt;&gt;"",INT(U2)&gt;=TODAY()),"Submissions closed - event ahead","Expired"))))))))</f>
        <v>Open - closing soon</v>
      </c>
      <c r="Z2" s="6" t="s">
        <v>44</v>
      </c>
      <c r="AA2" s="6" t="s">
        <v>40</v>
      </c>
      <c r="AB2" s="11" t="s">
        <v>45</v>
      </c>
      <c r="AC2" s="6" t="s">
        <v>46</v>
      </c>
      <c r="AD2" s="6" t="s">
        <v>47</v>
      </c>
      <c r="AE2" s="9">
        <v>46269</v>
      </c>
      <c r="AF2" s="6" t="s">
        <v>48</v>
      </c>
      <c r="AG2" s="9">
        <v>46269</v>
      </c>
    </row>
    <row r="3" spans="1:33" ht="60" customHeight="1" x14ac:dyDescent="0.35">
      <c r="A3" s="12">
        <v>2</v>
      </c>
      <c r="B3" s="13" t="s">
        <v>49</v>
      </c>
      <c r="C3" s="12">
        <v>2026</v>
      </c>
      <c r="D3" s="14" t="s">
        <v>50</v>
      </c>
      <c r="E3" s="15" t="s">
        <v>51</v>
      </c>
      <c r="F3" s="16" t="s">
        <v>52</v>
      </c>
      <c r="G3" s="14" t="s">
        <v>37</v>
      </c>
      <c r="H3" s="12">
        <f t="shared" si="0"/>
        <v>1</v>
      </c>
      <c r="I3" s="16" t="s">
        <v>53</v>
      </c>
      <c r="J3" s="15" t="s">
        <v>54</v>
      </c>
      <c r="K3" s="15" t="s">
        <v>55</v>
      </c>
      <c r="L3" s="17">
        <v>500</v>
      </c>
      <c r="M3" s="14" t="s">
        <v>56</v>
      </c>
      <c r="N3" s="18"/>
      <c r="O3" s="18">
        <v>46292</v>
      </c>
      <c r="P3" s="18"/>
      <c r="Q3" s="18"/>
      <c r="R3" s="18">
        <v>46292</v>
      </c>
      <c r="S3" s="15" t="s">
        <v>57</v>
      </c>
      <c r="T3" s="18">
        <v>46296</v>
      </c>
      <c r="U3" s="18">
        <v>46296</v>
      </c>
      <c r="V3" s="15" t="s">
        <v>58</v>
      </c>
      <c r="W3" s="15" t="s">
        <v>59</v>
      </c>
      <c r="X3" s="12">
        <f t="shared" ca="1" si="1"/>
        <v>23</v>
      </c>
      <c r="Y3" s="19" t="str">
        <f t="shared" ca="1" si="2"/>
        <v>Open - closing soon</v>
      </c>
      <c r="Z3" s="15" t="s">
        <v>60</v>
      </c>
      <c r="AA3" s="15" t="s">
        <v>61</v>
      </c>
      <c r="AB3" s="20" t="s">
        <v>62</v>
      </c>
      <c r="AC3" s="15" t="s">
        <v>27</v>
      </c>
      <c r="AD3" s="15" t="s">
        <v>63</v>
      </c>
      <c r="AE3" s="18">
        <v>46269</v>
      </c>
      <c r="AF3" s="15" t="s">
        <v>64</v>
      </c>
      <c r="AG3" s="18">
        <v>45730</v>
      </c>
    </row>
    <row r="4" spans="1:33" ht="72" customHeight="1" x14ac:dyDescent="0.35">
      <c r="A4" s="3">
        <v>3</v>
      </c>
      <c r="B4" s="4" t="s">
        <v>65</v>
      </c>
      <c r="C4" s="3">
        <v>2026</v>
      </c>
      <c r="D4" s="5" t="s">
        <v>66</v>
      </c>
      <c r="E4" s="6" t="s">
        <v>67</v>
      </c>
      <c r="F4" s="7" t="s">
        <v>52</v>
      </c>
      <c r="G4" s="5" t="s">
        <v>37</v>
      </c>
      <c r="H4" s="3">
        <f t="shared" si="0"/>
        <v>1</v>
      </c>
      <c r="I4" s="7" t="s">
        <v>68</v>
      </c>
      <c r="J4" s="6" t="s">
        <v>69</v>
      </c>
      <c r="K4" s="6" t="s">
        <v>70</v>
      </c>
      <c r="L4" s="8">
        <v>0</v>
      </c>
      <c r="M4" s="5" t="s">
        <v>66</v>
      </c>
      <c r="N4" s="9"/>
      <c r="O4" s="9">
        <v>46295</v>
      </c>
      <c r="P4" s="9">
        <v>46305</v>
      </c>
      <c r="Q4" s="9"/>
      <c r="R4" s="9">
        <v>46295</v>
      </c>
      <c r="S4" s="6" t="s">
        <v>71</v>
      </c>
      <c r="T4" s="9">
        <v>46310</v>
      </c>
      <c r="U4" s="9">
        <v>46312</v>
      </c>
      <c r="V4" s="6" t="s">
        <v>72</v>
      </c>
      <c r="W4" s="6" t="s">
        <v>73</v>
      </c>
      <c r="X4" s="3">
        <f t="shared" ca="1" si="1"/>
        <v>26</v>
      </c>
      <c r="Y4" s="10" t="str">
        <f t="shared" ca="1" si="2"/>
        <v>Open - closing soon</v>
      </c>
      <c r="Z4" s="6" t="s">
        <v>74</v>
      </c>
      <c r="AA4" s="6" t="s">
        <v>75</v>
      </c>
      <c r="AB4" s="11" t="s">
        <v>76</v>
      </c>
      <c r="AC4" s="6" t="s">
        <v>27</v>
      </c>
      <c r="AD4" s="6" t="s">
        <v>77</v>
      </c>
      <c r="AE4" s="9">
        <v>46269</v>
      </c>
      <c r="AF4" s="6" t="s">
        <v>78</v>
      </c>
      <c r="AG4" s="9">
        <v>45778</v>
      </c>
    </row>
    <row r="5" spans="1:33" ht="48" customHeight="1" x14ac:dyDescent="0.35">
      <c r="A5" s="12">
        <v>4</v>
      </c>
      <c r="B5" s="13" t="s">
        <v>79</v>
      </c>
      <c r="C5" s="12">
        <v>2026</v>
      </c>
      <c r="D5" s="14" t="s">
        <v>80</v>
      </c>
      <c r="E5" s="15" t="s">
        <v>81</v>
      </c>
      <c r="F5" s="16" t="s">
        <v>52</v>
      </c>
      <c r="G5" s="14" t="s">
        <v>37</v>
      </c>
      <c r="H5" s="12">
        <f t="shared" si="0"/>
        <v>1</v>
      </c>
      <c r="I5" s="16" t="s">
        <v>53</v>
      </c>
      <c r="J5" s="15" t="s">
        <v>82</v>
      </c>
      <c r="K5" s="15" t="s">
        <v>83</v>
      </c>
      <c r="L5" s="17">
        <v>0</v>
      </c>
      <c r="M5" s="14" t="s">
        <v>66</v>
      </c>
      <c r="N5" s="18"/>
      <c r="O5" s="18">
        <v>46295</v>
      </c>
      <c r="P5" s="18">
        <v>46316</v>
      </c>
      <c r="Q5" s="18">
        <v>46325</v>
      </c>
      <c r="R5" s="18"/>
      <c r="S5" s="15" t="s">
        <v>84</v>
      </c>
      <c r="T5" s="18">
        <v>46330</v>
      </c>
      <c r="U5" s="18">
        <v>46332</v>
      </c>
      <c r="V5" s="15" t="s">
        <v>85</v>
      </c>
      <c r="W5" s="15" t="s">
        <v>86</v>
      </c>
      <c r="X5" s="12">
        <f t="shared" ca="1" si="1"/>
        <v>26</v>
      </c>
      <c r="Y5" s="19" t="str">
        <f t="shared" ca="1" si="2"/>
        <v>Open - closing soon</v>
      </c>
      <c r="Z5" s="15" t="s">
        <v>87</v>
      </c>
      <c r="AA5" s="15" t="s">
        <v>88</v>
      </c>
      <c r="AB5" s="20" t="s">
        <v>89</v>
      </c>
      <c r="AC5" s="15" t="s">
        <v>90</v>
      </c>
      <c r="AD5" s="15" t="s">
        <v>91</v>
      </c>
      <c r="AE5" s="18">
        <v>46269</v>
      </c>
      <c r="AF5" s="15" t="s">
        <v>92</v>
      </c>
      <c r="AG5" s="18">
        <v>45608</v>
      </c>
    </row>
    <row r="6" spans="1:33" ht="60" customHeight="1" x14ac:dyDescent="0.35">
      <c r="A6" s="3">
        <v>5</v>
      </c>
      <c r="B6" s="4" t="s">
        <v>93</v>
      </c>
      <c r="C6" s="3">
        <v>2026</v>
      </c>
      <c r="D6" s="5" t="s">
        <v>94</v>
      </c>
      <c r="E6" s="6" t="s">
        <v>95</v>
      </c>
      <c r="F6" s="7" t="s">
        <v>52</v>
      </c>
      <c r="G6" s="5" t="s">
        <v>37</v>
      </c>
      <c r="H6" s="3">
        <f t="shared" si="0"/>
        <v>1</v>
      </c>
      <c r="I6" s="7" t="s">
        <v>53</v>
      </c>
      <c r="J6" s="6" t="s">
        <v>96</v>
      </c>
      <c r="K6" s="6" t="s">
        <v>97</v>
      </c>
      <c r="L6" s="8">
        <v>0</v>
      </c>
      <c r="M6" s="5" t="s">
        <v>66</v>
      </c>
      <c r="N6" s="9"/>
      <c r="O6" s="9">
        <v>46296</v>
      </c>
      <c r="P6" s="9">
        <v>46327</v>
      </c>
      <c r="Q6" s="9">
        <v>46334</v>
      </c>
      <c r="R6" s="9"/>
      <c r="S6" s="6" t="s">
        <v>98</v>
      </c>
      <c r="T6" s="9">
        <v>46337</v>
      </c>
      <c r="U6" s="9">
        <v>46339</v>
      </c>
      <c r="V6" s="6" t="s">
        <v>99</v>
      </c>
      <c r="W6" s="6" t="s">
        <v>100</v>
      </c>
      <c r="X6" s="3">
        <f t="shared" ca="1" si="1"/>
        <v>27</v>
      </c>
      <c r="Y6" s="10" t="str">
        <f t="shared" ca="1" si="2"/>
        <v>Open - closing soon</v>
      </c>
      <c r="Z6" s="6" t="s">
        <v>101</v>
      </c>
      <c r="AA6" s="6" t="s">
        <v>102</v>
      </c>
      <c r="AB6" s="11" t="s">
        <v>103</v>
      </c>
      <c r="AC6" s="6" t="s">
        <v>104</v>
      </c>
      <c r="AD6" s="6" t="s">
        <v>105</v>
      </c>
      <c r="AE6" s="9">
        <v>46269</v>
      </c>
      <c r="AF6" s="6" t="s">
        <v>106</v>
      </c>
      <c r="AG6" s="9">
        <v>45620</v>
      </c>
    </row>
    <row r="7" spans="1:33" ht="36" customHeight="1" x14ac:dyDescent="0.35">
      <c r="A7" s="12">
        <v>6</v>
      </c>
      <c r="B7" s="13" t="s">
        <v>107</v>
      </c>
      <c r="C7" s="12">
        <v>2026</v>
      </c>
      <c r="D7" s="14" t="s">
        <v>66</v>
      </c>
      <c r="E7" s="15" t="s">
        <v>108</v>
      </c>
      <c r="F7" s="16" t="s">
        <v>109</v>
      </c>
      <c r="G7" s="14" t="s">
        <v>37</v>
      </c>
      <c r="H7" s="12">
        <f t="shared" si="0"/>
        <v>1</v>
      </c>
      <c r="I7" s="16" t="s">
        <v>110</v>
      </c>
      <c r="J7" s="15" t="s">
        <v>111</v>
      </c>
      <c r="K7" s="15" t="s">
        <v>112</v>
      </c>
      <c r="L7" s="17"/>
      <c r="M7" s="14"/>
      <c r="N7" s="18"/>
      <c r="O7" s="18">
        <v>46296</v>
      </c>
      <c r="P7" s="18">
        <v>46327</v>
      </c>
      <c r="Q7" s="18"/>
      <c r="R7" s="18"/>
      <c r="S7" s="15" t="s">
        <v>113</v>
      </c>
      <c r="T7" s="18">
        <v>46344</v>
      </c>
      <c r="U7" s="18">
        <v>46346</v>
      </c>
      <c r="V7" s="15" t="s">
        <v>114</v>
      </c>
      <c r="W7" s="15" t="s">
        <v>115</v>
      </c>
      <c r="X7" s="12">
        <f t="shared" ca="1" si="1"/>
        <v>27</v>
      </c>
      <c r="Y7" s="19" t="str">
        <f t="shared" ca="1" si="2"/>
        <v>Open - closing soon</v>
      </c>
      <c r="Z7" s="15" t="s">
        <v>116</v>
      </c>
      <c r="AA7" s="15" t="s">
        <v>117</v>
      </c>
      <c r="AB7" s="20" t="s">
        <v>118</v>
      </c>
      <c r="AC7" s="15" t="s">
        <v>119</v>
      </c>
      <c r="AD7" s="15" t="s">
        <v>120</v>
      </c>
      <c r="AE7" s="18">
        <v>46269</v>
      </c>
      <c r="AF7" s="15" t="s">
        <v>121</v>
      </c>
      <c r="AG7" s="18">
        <v>44779</v>
      </c>
    </row>
    <row r="8" spans="1:33" ht="36" customHeight="1" x14ac:dyDescent="0.35">
      <c r="A8" s="3">
        <v>7</v>
      </c>
      <c r="B8" s="4" t="s">
        <v>122</v>
      </c>
      <c r="C8" s="3">
        <v>2027</v>
      </c>
      <c r="D8" s="5" t="s">
        <v>123</v>
      </c>
      <c r="E8" s="6" t="s">
        <v>124</v>
      </c>
      <c r="F8" s="7" t="s">
        <v>36</v>
      </c>
      <c r="G8" s="5" t="s">
        <v>37</v>
      </c>
      <c r="H8" s="3">
        <f t="shared" si="0"/>
        <v>1</v>
      </c>
      <c r="I8" s="7" t="s">
        <v>125</v>
      </c>
      <c r="J8" s="6" t="s">
        <v>126</v>
      </c>
      <c r="K8" s="6" t="s">
        <v>112</v>
      </c>
      <c r="L8" s="8"/>
      <c r="M8" s="5"/>
      <c r="N8" s="9"/>
      <c r="O8" s="9">
        <v>46367</v>
      </c>
      <c r="P8" s="9">
        <v>46389</v>
      </c>
      <c r="Q8" s="9">
        <v>46399</v>
      </c>
      <c r="R8" s="9">
        <v>46467</v>
      </c>
      <c r="S8" s="6" t="s">
        <v>127</v>
      </c>
      <c r="T8" s="9">
        <v>46479</v>
      </c>
      <c r="U8" s="9">
        <v>46479</v>
      </c>
      <c r="V8" s="6" t="s">
        <v>128</v>
      </c>
      <c r="W8" s="6" t="s">
        <v>115</v>
      </c>
      <c r="X8" s="3">
        <f t="shared" ca="1" si="1"/>
        <v>98</v>
      </c>
      <c r="Y8" s="10" t="str">
        <f t="shared" ca="1" si="2"/>
        <v>Open</v>
      </c>
      <c r="Z8" s="6" t="s">
        <v>129</v>
      </c>
      <c r="AA8" s="6" t="s">
        <v>130</v>
      </c>
      <c r="AB8" s="11" t="s">
        <v>131</v>
      </c>
      <c r="AC8" s="6" t="s">
        <v>132</v>
      </c>
      <c r="AD8" s="6" t="s">
        <v>133</v>
      </c>
      <c r="AE8" s="9">
        <v>46269</v>
      </c>
      <c r="AF8" s="6" t="s">
        <v>134</v>
      </c>
      <c r="AG8" s="9">
        <v>45581</v>
      </c>
    </row>
    <row r="9" spans="1:33" ht="48" customHeight="1" x14ac:dyDescent="0.35">
      <c r="A9" s="12">
        <v>8</v>
      </c>
      <c r="B9" s="13" t="s">
        <v>135</v>
      </c>
      <c r="C9" s="12">
        <v>2027</v>
      </c>
      <c r="D9" s="14" t="s">
        <v>66</v>
      </c>
      <c r="E9" s="15" t="s">
        <v>136</v>
      </c>
      <c r="F9" s="16" t="s">
        <v>36</v>
      </c>
      <c r="G9" s="14" t="s">
        <v>37</v>
      </c>
      <c r="H9" s="12">
        <f t="shared" si="0"/>
        <v>1</v>
      </c>
      <c r="I9" s="16" t="s">
        <v>110</v>
      </c>
      <c r="J9" s="15" t="s">
        <v>137</v>
      </c>
      <c r="K9" s="15" t="s">
        <v>138</v>
      </c>
      <c r="L9" s="17"/>
      <c r="M9" s="14"/>
      <c r="N9" s="18">
        <v>46446</v>
      </c>
      <c r="O9" s="18">
        <v>46413</v>
      </c>
      <c r="P9" s="18">
        <v>46462</v>
      </c>
      <c r="Q9" s="18">
        <v>46488</v>
      </c>
      <c r="R9" s="18"/>
      <c r="S9" s="15" t="s">
        <v>139</v>
      </c>
      <c r="T9" s="18">
        <v>46547</v>
      </c>
      <c r="U9" s="18">
        <v>46549</v>
      </c>
      <c r="V9" s="15" t="s">
        <v>140</v>
      </c>
      <c r="W9" s="15" t="s">
        <v>115</v>
      </c>
      <c r="X9" s="12">
        <f t="shared" ca="1" si="1"/>
        <v>144</v>
      </c>
      <c r="Y9" s="19" t="str">
        <f t="shared" ca="1" si="2"/>
        <v>Open</v>
      </c>
      <c r="Z9" s="15" t="s">
        <v>115</v>
      </c>
      <c r="AA9" s="15" t="s">
        <v>40</v>
      </c>
      <c r="AB9" s="20" t="s">
        <v>141</v>
      </c>
      <c r="AC9" s="15" t="s">
        <v>27</v>
      </c>
      <c r="AD9" s="15" t="s">
        <v>142</v>
      </c>
      <c r="AE9" s="18">
        <v>46269</v>
      </c>
      <c r="AF9" s="15" t="s">
        <v>143</v>
      </c>
      <c r="AG9" s="18">
        <v>45674</v>
      </c>
    </row>
    <row r="10" spans="1:33" ht="60" customHeight="1" x14ac:dyDescent="0.35">
      <c r="A10" s="3">
        <v>9</v>
      </c>
      <c r="B10" s="4" t="s">
        <v>144</v>
      </c>
      <c r="C10" s="3">
        <v>2027</v>
      </c>
      <c r="D10" s="5" t="s">
        <v>145</v>
      </c>
      <c r="E10" s="6" t="s">
        <v>146</v>
      </c>
      <c r="F10" s="7" t="s">
        <v>36</v>
      </c>
      <c r="G10" s="5" t="s">
        <v>37</v>
      </c>
      <c r="H10" s="3">
        <f t="shared" si="0"/>
        <v>1</v>
      </c>
      <c r="I10" s="7" t="s">
        <v>147</v>
      </c>
      <c r="J10" s="6" t="s">
        <v>148</v>
      </c>
      <c r="K10" s="6" t="s">
        <v>149</v>
      </c>
      <c r="L10" s="8"/>
      <c r="M10" s="5"/>
      <c r="N10" s="9">
        <v>46446</v>
      </c>
      <c r="O10" s="9">
        <v>46446</v>
      </c>
      <c r="P10" s="9">
        <v>46477</v>
      </c>
      <c r="Q10" s="9">
        <v>46507</v>
      </c>
      <c r="R10" s="9">
        <v>46538</v>
      </c>
      <c r="S10" s="6" t="s">
        <v>150</v>
      </c>
      <c r="T10" s="9">
        <v>46652</v>
      </c>
      <c r="U10" s="9">
        <v>46655</v>
      </c>
      <c r="V10" s="6" t="s">
        <v>151</v>
      </c>
      <c r="W10" s="6" t="s">
        <v>115</v>
      </c>
      <c r="X10" s="3">
        <f t="shared" ca="1" si="1"/>
        <v>177</v>
      </c>
      <c r="Y10" s="10" t="str">
        <f t="shared" ca="1" si="2"/>
        <v>Open</v>
      </c>
      <c r="Z10" s="6" t="s">
        <v>152</v>
      </c>
      <c r="AA10" s="6" t="s">
        <v>40</v>
      </c>
      <c r="AB10" s="11" t="s">
        <v>153</v>
      </c>
      <c r="AC10" s="6" t="s">
        <v>154</v>
      </c>
      <c r="AD10" s="6" t="s">
        <v>155</v>
      </c>
      <c r="AE10" s="9">
        <v>46269</v>
      </c>
      <c r="AF10" s="6" t="s">
        <v>156</v>
      </c>
      <c r="AG10" s="9">
        <v>45723</v>
      </c>
    </row>
    <row r="11" spans="1:33" ht="84" customHeight="1" x14ac:dyDescent="0.35">
      <c r="A11" s="12">
        <v>10</v>
      </c>
      <c r="B11" s="13" t="s">
        <v>157</v>
      </c>
      <c r="C11" s="12">
        <v>2027</v>
      </c>
      <c r="D11" s="14" t="s">
        <v>158</v>
      </c>
      <c r="E11" s="15" t="s">
        <v>159</v>
      </c>
      <c r="F11" s="16" t="s">
        <v>36</v>
      </c>
      <c r="G11" s="14" t="s">
        <v>37</v>
      </c>
      <c r="H11" s="12">
        <f t="shared" si="0"/>
        <v>1</v>
      </c>
      <c r="I11" s="16" t="s">
        <v>147</v>
      </c>
      <c r="J11" s="15" t="s">
        <v>160</v>
      </c>
      <c r="K11" s="15" t="s">
        <v>161</v>
      </c>
      <c r="L11" s="17"/>
      <c r="M11" s="14" t="s">
        <v>162</v>
      </c>
      <c r="N11" s="18"/>
      <c r="O11" s="18">
        <v>46481</v>
      </c>
      <c r="P11" s="18">
        <v>46530</v>
      </c>
      <c r="Q11" s="18">
        <v>46551</v>
      </c>
      <c r="R11" s="18">
        <v>46568</v>
      </c>
      <c r="S11" s="15" t="s">
        <v>163</v>
      </c>
      <c r="T11" s="18">
        <v>46643</v>
      </c>
      <c r="U11" s="18">
        <v>46645</v>
      </c>
      <c r="V11" s="15" t="s">
        <v>164</v>
      </c>
      <c r="W11" s="15" t="s">
        <v>86</v>
      </c>
      <c r="X11" s="12">
        <f t="shared" ca="1" si="1"/>
        <v>212</v>
      </c>
      <c r="Y11" s="19" t="str">
        <f t="shared" ca="1" si="2"/>
        <v>Open</v>
      </c>
      <c r="Z11" s="15" t="s">
        <v>165</v>
      </c>
      <c r="AA11" s="15" t="s">
        <v>166</v>
      </c>
      <c r="AB11" s="20" t="s">
        <v>167</v>
      </c>
      <c r="AC11" s="15" t="s">
        <v>168</v>
      </c>
      <c r="AD11" s="15" t="s">
        <v>169</v>
      </c>
      <c r="AE11" s="18">
        <v>46269</v>
      </c>
      <c r="AF11" s="15" t="s">
        <v>170</v>
      </c>
      <c r="AG11" s="18">
        <v>43964</v>
      </c>
    </row>
    <row r="12" spans="1:33" ht="48" customHeight="1" x14ac:dyDescent="0.35">
      <c r="A12" s="3">
        <v>11</v>
      </c>
      <c r="B12" s="4" t="s">
        <v>171</v>
      </c>
      <c r="C12" s="3">
        <v>2027</v>
      </c>
      <c r="D12" s="5" t="s">
        <v>172</v>
      </c>
      <c r="E12" s="6" t="s">
        <v>173</v>
      </c>
      <c r="F12" s="7" t="s">
        <v>36</v>
      </c>
      <c r="G12" s="5" t="s">
        <v>37</v>
      </c>
      <c r="H12" s="3">
        <f t="shared" si="0"/>
        <v>1</v>
      </c>
      <c r="I12" s="7" t="s">
        <v>147</v>
      </c>
      <c r="J12" s="6" t="s">
        <v>174</v>
      </c>
      <c r="K12" s="6" t="s">
        <v>175</v>
      </c>
      <c r="L12" s="8"/>
      <c r="M12" s="5"/>
      <c r="N12" s="9"/>
      <c r="O12" s="9">
        <v>46521</v>
      </c>
      <c r="P12" s="9">
        <v>46566</v>
      </c>
      <c r="Q12" s="9">
        <v>46583</v>
      </c>
      <c r="R12" s="9">
        <v>46599</v>
      </c>
      <c r="S12" s="6" t="s">
        <v>176</v>
      </c>
      <c r="T12" s="9">
        <v>46642</v>
      </c>
      <c r="U12" s="9">
        <v>46645</v>
      </c>
      <c r="V12" s="6" t="s">
        <v>177</v>
      </c>
      <c r="W12" s="6" t="s">
        <v>115</v>
      </c>
      <c r="X12" s="3">
        <f t="shared" ca="1" si="1"/>
        <v>252</v>
      </c>
      <c r="Y12" s="10" t="str">
        <f t="shared" ca="1" si="2"/>
        <v>Open</v>
      </c>
      <c r="Z12" s="6" t="s">
        <v>115</v>
      </c>
      <c r="AA12" s="6" t="s">
        <v>40</v>
      </c>
      <c r="AB12" s="11" t="s">
        <v>178</v>
      </c>
      <c r="AC12" s="6" t="s">
        <v>27</v>
      </c>
      <c r="AD12" s="6" t="s">
        <v>40</v>
      </c>
      <c r="AE12" s="9">
        <v>46269</v>
      </c>
      <c r="AF12" s="6" t="s">
        <v>179</v>
      </c>
      <c r="AG12" s="9">
        <v>44732</v>
      </c>
    </row>
    <row r="13" spans="1:33" ht="36" customHeight="1" x14ac:dyDescent="0.35">
      <c r="A13" s="12">
        <v>12</v>
      </c>
      <c r="B13" s="13" t="s">
        <v>180</v>
      </c>
      <c r="C13" s="12">
        <v>2027</v>
      </c>
      <c r="D13" s="14" t="s">
        <v>66</v>
      </c>
      <c r="E13" s="15" t="s">
        <v>181</v>
      </c>
      <c r="F13" s="16" t="s">
        <v>109</v>
      </c>
      <c r="G13" s="14" t="s">
        <v>37</v>
      </c>
      <c r="H13" s="12">
        <f t="shared" si="0"/>
        <v>1</v>
      </c>
      <c r="I13" s="16" t="s">
        <v>53</v>
      </c>
      <c r="J13" s="15" t="s">
        <v>182</v>
      </c>
      <c r="K13" s="15" t="s">
        <v>112</v>
      </c>
      <c r="L13" s="17"/>
      <c r="M13" s="14"/>
      <c r="N13" s="18"/>
      <c r="O13" s="18">
        <v>46521</v>
      </c>
      <c r="P13" s="18">
        <v>46532</v>
      </c>
      <c r="Q13" s="18">
        <v>46537</v>
      </c>
      <c r="R13" s="18"/>
      <c r="S13" s="15" t="s">
        <v>183</v>
      </c>
      <c r="T13" s="18">
        <v>46545</v>
      </c>
      <c r="U13" s="18">
        <v>46545</v>
      </c>
      <c r="V13" s="15" t="s">
        <v>184</v>
      </c>
      <c r="W13" s="15" t="s">
        <v>59</v>
      </c>
      <c r="X13" s="12">
        <f t="shared" ca="1" si="1"/>
        <v>252</v>
      </c>
      <c r="Y13" s="19" t="str">
        <f t="shared" ca="1" si="2"/>
        <v>Open</v>
      </c>
      <c r="Z13" s="15" t="s">
        <v>115</v>
      </c>
      <c r="AA13" s="15" t="s">
        <v>185</v>
      </c>
      <c r="AB13" s="20" t="s">
        <v>186</v>
      </c>
      <c r="AC13" s="15" t="s">
        <v>119</v>
      </c>
      <c r="AD13" s="15" t="s">
        <v>187</v>
      </c>
      <c r="AE13" s="18">
        <v>46269</v>
      </c>
      <c r="AF13" s="15" t="s">
        <v>188</v>
      </c>
      <c r="AG13" s="18">
        <v>44281</v>
      </c>
    </row>
    <row r="14" spans="1:33" ht="60" customHeight="1" x14ac:dyDescent="0.35">
      <c r="A14" s="3">
        <v>13</v>
      </c>
      <c r="B14" s="4" t="s">
        <v>189</v>
      </c>
      <c r="C14" s="3">
        <v>2026</v>
      </c>
      <c r="D14" s="5" t="s">
        <v>66</v>
      </c>
      <c r="E14" s="6" t="s">
        <v>190</v>
      </c>
      <c r="F14" s="7" t="s">
        <v>52</v>
      </c>
      <c r="G14" s="5" t="s">
        <v>37</v>
      </c>
      <c r="H14" s="3">
        <f t="shared" si="0"/>
        <v>1</v>
      </c>
      <c r="I14" s="7" t="s">
        <v>53</v>
      </c>
      <c r="J14" s="6" t="s">
        <v>191</v>
      </c>
      <c r="K14" s="6" t="s">
        <v>112</v>
      </c>
      <c r="L14" s="8"/>
      <c r="M14" s="5"/>
      <c r="N14" s="9"/>
      <c r="O14" s="9">
        <v>46272</v>
      </c>
      <c r="P14" s="9">
        <v>46275</v>
      </c>
      <c r="Q14" s="9"/>
      <c r="R14" s="9">
        <v>46272</v>
      </c>
      <c r="S14" s="6" t="s">
        <v>192</v>
      </c>
      <c r="T14" s="9">
        <v>46289</v>
      </c>
      <c r="U14" s="9">
        <v>46290</v>
      </c>
      <c r="V14" s="6" t="s">
        <v>193</v>
      </c>
      <c r="W14" s="6" t="s">
        <v>194</v>
      </c>
      <c r="X14" s="3">
        <f t="shared" ca="1" si="1"/>
        <v>3</v>
      </c>
      <c r="Y14" s="10" t="str">
        <f t="shared" ca="1" si="2"/>
        <v>Open - closing soon</v>
      </c>
      <c r="Z14" s="6" t="s">
        <v>195</v>
      </c>
      <c r="AA14" s="6" t="s">
        <v>196</v>
      </c>
      <c r="AB14" s="11" t="s">
        <v>197</v>
      </c>
      <c r="AC14" s="6" t="s">
        <v>27</v>
      </c>
      <c r="AD14" s="6" t="s">
        <v>198</v>
      </c>
      <c r="AE14" s="9">
        <v>46269</v>
      </c>
      <c r="AF14" s="6" t="s">
        <v>199</v>
      </c>
      <c r="AG14" s="9">
        <v>46269</v>
      </c>
    </row>
    <row r="15" spans="1:33" ht="84" customHeight="1" x14ac:dyDescent="0.35">
      <c r="A15" s="12">
        <v>14</v>
      </c>
      <c r="B15" s="13" t="s">
        <v>200</v>
      </c>
      <c r="C15" s="12">
        <v>2026</v>
      </c>
      <c r="D15" s="14" t="s">
        <v>66</v>
      </c>
      <c r="E15" s="15" t="s">
        <v>201</v>
      </c>
      <c r="F15" s="16" t="s">
        <v>36</v>
      </c>
      <c r="G15" s="14" t="s">
        <v>37</v>
      </c>
      <c r="H15" s="12">
        <f t="shared" si="0"/>
        <v>1</v>
      </c>
      <c r="I15" s="16" t="s">
        <v>53</v>
      </c>
      <c r="J15" s="15" t="s">
        <v>202</v>
      </c>
      <c r="K15" s="15" t="s">
        <v>112</v>
      </c>
      <c r="L15" s="17"/>
      <c r="M15" s="14"/>
      <c r="N15" s="18"/>
      <c r="O15" s="9">
        <v>46272</v>
      </c>
      <c r="P15" s="9">
        <v>46275</v>
      </c>
      <c r="Q15" s="18"/>
      <c r="R15" s="18">
        <v>46272</v>
      </c>
      <c r="S15" s="15" t="s">
        <v>192</v>
      </c>
      <c r="T15" s="18">
        <v>46289</v>
      </c>
      <c r="U15" s="18">
        <v>46290</v>
      </c>
      <c r="V15" s="15" t="s">
        <v>203</v>
      </c>
      <c r="W15" s="15" t="s">
        <v>194</v>
      </c>
      <c r="X15" s="12">
        <f t="shared" ca="1" si="1"/>
        <v>3</v>
      </c>
      <c r="Y15" s="19" t="str">
        <f t="shared" ca="1" si="2"/>
        <v>Open - closing soon</v>
      </c>
      <c r="Z15" s="15" t="s">
        <v>204</v>
      </c>
      <c r="AA15" s="15" t="s">
        <v>205</v>
      </c>
      <c r="AB15" s="20" t="s">
        <v>197</v>
      </c>
      <c r="AC15" s="15" t="s">
        <v>206</v>
      </c>
      <c r="AD15" s="15" t="s">
        <v>207</v>
      </c>
      <c r="AE15" s="18">
        <v>46269</v>
      </c>
      <c r="AF15" s="15" t="s">
        <v>208</v>
      </c>
      <c r="AG15" s="18">
        <v>46269</v>
      </c>
    </row>
    <row r="16" spans="1:33" ht="72" customHeight="1" x14ac:dyDescent="0.35">
      <c r="A16" s="3">
        <v>15</v>
      </c>
      <c r="B16" s="4" t="s">
        <v>209</v>
      </c>
      <c r="C16" s="3">
        <v>2026</v>
      </c>
      <c r="D16" s="5" t="s">
        <v>66</v>
      </c>
      <c r="E16" s="6" t="s">
        <v>210</v>
      </c>
      <c r="F16" s="7" t="s">
        <v>52</v>
      </c>
      <c r="G16" s="5" t="s">
        <v>37</v>
      </c>
      <c r="H16" s="3">
        <f t="shared" si="0"/>
        <v>1</v>
      </c>
      <c r="I16" s="7" t="s">
        <v>53</v>
      </c>
      <c r="J16" s="6" t="s">
        <v>211</v>
      </c>
      <c r="K16" s="6" t="s">
        <v>112</v>
      </c>
      <c r="L16" s="8"/>
      <c r="M16" s="5"/>
      <c r="N16" s="9"/>
      <c r="O16" s="9">
        <v>46272</v>
      </c>
      <c r="P16" s="9">
        <v>46275</v>
      </c>
      <c r="Q16" s="9"/>
      <c r="R16" s="9">
        <v>46272</v>
      </c>
      <c r="S16" s="6" t="s">
        <v>192</v>
      </c>
      <c r="T16" s="9">
        <v>46289</v>
      </c>
      <c r="U16" s="9">
        <v>46290</v>
      </c>
      <c r="V16" s="6" t="s">
        <v>193</v>
      </c>
      <c r="W16" s="6" t="s">
        <v>194</v>
      </c>
      <c r="X16" s="3">
        <f t="shared" ca="1" si="1"/>
        <v>3</v>
      </c>
      <c r="Y16" s="10" t="str">
        <f t="shared" ca="1" si="2"/>
        <v>Open - closing soon</v>
      </c>
      <c r="Z16" s="6" t="s">
        <v>212</v>
      </c>
      <c r="AA16" s="6" t="s">
        <v>196</v>
      </c>
      <c r="AB16" s="11" t="s">
        <v>197</v>
      </c>
      <c r="AC16" s="6" t="s">
        <v>213</v>
      </c>
      <c r="AD16" s="6" t="s">
        <v>214</v>
      </c>
      <c r="AE16" s="9">
        <v>46269</v>
      </c>
      <c r="AF16" s="6" t="s">
        <v>215</v>
      </c>
      <c r="AG16" s="9">
        <v>46269</v>
      </c>
    </row>
    <row r="17" spans="1:33" ht="60" customHeight="1" x14ac:dyDescent="0.35">
      <c r="A17" s="12">
        <v>16</v>
      </c>
      <c r="B17" s="13" t="s">
        <v>216</v>
      </c>
      <c r="C17" s="12">
        <v>2026</v>
      </c>
      <c r="D17" s="14" t="s">
        <v>217</v>
      </c>
      <c r="E17" s="15" t="s">
        <v>218</v>
      </c>
      <c r="F17" s="16" t="s">
        <v>109</v>
      </c>
      <c r="G17" s="14" t="s">
        <v>219</v>
      </c>
      <c r="H17" s="12">
        <f t="shared" si="0"/>
        <v>2</v>
      </c>
      <c r="I17" s="16" t="s">
        <v>110</v>
      </c>
      <c r="J17" s="15" t="s">
        <v>220</v>
      </c>
      <c r="K17" s="15" t="s">
        <v>221</v>
      </c>
      <c r="L17" s="17">
        <v>0</v>
      </c>
      <c r="M17" s="14" t="s">
        <v>66</v>
      </c>
      <c r="N17" s="18">
        <v>46132</v>
      </c>
      <c r="O17" s="18">
        <v>46160</v>
      </c>
      <c r="P17" s="18">
        <v>46202</v>
      </c>
      <c r="Q17" s="18">
        <v>46265</v>
      </c>
      <c r="R17" s="18">
        <v>46265</v>
      </c>
      <c r="S17" s="15" t="s">
        <v>222</v>
      </c>
      <c r="T17" s="18">
        <v>46280</v>
      </c>
      <c r="U17" s="18">
        <v>46283</v>
      </c>
      <c r="V17" s="15" t="s">
        <v>223</v>
      </c>
      <c r="W17" s="15" t="s">
        <v>86</v>
      </c>
      <c r="X17" s="12">
        <f t="shared" ca="1" si="1"/>
        <v>-109</v>
      </c>
      <c r="Y17" s="19" t="str">
        <f t="shared" ca="1" si="2"/>
        <v>Submissions closed - event ahead</v>
      </c>
      <c r="Z17" s="15" t="s">
        <v>115</v>
      </c>
      <c r="AA17" s="15" t="s">
        <v>40</v>
      </c>
      <c r="AB17" s="20" t="s">
        <v>224</v>
      </c>
      <c r="AC17" s="15" t="s">
        <v>27</v>
      </c>
      <c r="AD17" s="15" t="s">
        <v>40</v>
      </c>
      <c r="AE17" s="18">
        <v>46269</v>
      </c>
      <c r="AF17" s="15" t="s">
        <v>225</v>
      </c>
      <c r="AG17" s="18">
        <v>44294</v>
      </c>
    </row>
    <row r="18" spans="1:33" ht="72" customHeight="1" x14ac:dyDescent="0.35">
      <c r="A18" s="3">
        <v>17</v>
      </c>
      <c r="B18" s="4" t="s">
        <v>226</v>
      </c>
      <c r="C18" s="3">
        <v>2026</v>
      </c>
      <c r="D18" s="5" t="s">
        <v>123</v>
      </c>
      <c r="E18" s="6" t="s">
        <v>227</v>
      </c>
      <c r="F18" s="7" t="s">
        <v>36</v>
      </c>
      <c r="G18" s="5" t="s">
        <v>219</v>
      </c>
      <c r="H18" s="3">
        <f t="shared" si="0"/>
        <v>2</v>
      </c>
      <c r="I18" s="7" t="s">
        <v>147</v>
      </c>
      <c r="J18" s="6" t="s">
        <v>228</v>
      </c>
      <c r="K18" s="6" t="s">
        <v>229</v>
      </c>
      <c r="L18" s="8">
        <v>150</v>
      </c>
      <c r="M18" s="5" t="s">
        <v>162</v>
      </c>
      <c r="N18" s="9"/>
      <c r="O18" s="9">
        <v>46188</v>
      </c>
      <c r="P18" s="9">
        <v>46251</v>
      </c>
      <c r="Q18" s="9">
        <v>46264</v>
      </c>
      <c r="R18" s="9">
        <v>46285</v>
      </c>
      <c r="S18" s="6" t="s">
        <v>230</v>
      </c>
      <c r="T18" s="9">
        <v>46300</v>
      </c>
      <c r="U18" s="9">
        <v>46304</v>
      </c>
      <c r="V18" s="6" t="s">
        <v>231</v>
      </c>
      <c r="W18" s="6" t="s">
        <v>232</v>
      </c>
      <c r="X18" s="3">
        <f t="shared" ca="1" si="1"/>
        <v>-81</v>
      </c>
      <c r="Y18" s="10" t="str">
        <f t="shared" ca="1" si="2"/>
        <v>Registration due</v>
      </c>
      <c r="Z18" s="6" t="s">
        <v>115</v>
      </c>
      <c r="AA18" s="6" t="s">
        <v>233</v>
      </c>
      <c r="AB18" s="11" t="s">
        <v>234</v>
      </c>
      <c r="AC18" s="6" t="s">
        <v>27</v>
      </c>
      <c r="AD18" s="6" t="s">
        <v>40</v>
      </c>
      <c r="AE18" s="9">
        <v>46269</v>
      </c>
      <c r="AF18" s="6" t="s">
        <v>235</v>
      </c>
      <c r="AG18" s="9">
        <v>44730</v>
      </c>
    </row>
    <row r="19" spans="1:33" ht="60" customHeight="1" x14ac:dyDescent="0.35">
      <c r="A19" s="12">
        <v>18</v>
      </c>
      <c r="B19" s="13" t="s">
        <v>236</v>
      </c>
      <c r="C19" s="12">
        <v>2026</v>
      </c>
      <c r="D19" s="14" t="s">
        <v>237</v>
      </c>
      <c r="E19" s="15" t="s">
        <v>238</v>
      </c>
      <c r="F19" s="16" t="s">
        <v>36</v>
      </c>
      <c r="G19" s="14" t="s">
        <v>219</v>
      </c>
      <c r="H19" s="12">
        <f t="shared" si="0"/>
        <v>2</v>
      </c>
      <c r="I19" s="16" t="s">
        <v>147</v>
      </c>
      <c r="J19" s="15" t="s">
        <v>239</v>
      </c>
      <c r="K19" s="15" t="s">
        <v>240</v>
      </c>
      <c r="L19" s="17">
        <v>300</v>
      </c>
      <c r="M19" s="14" t="s">
        <v>162</v>
      </c>
      <c r="N19" s="18"/>
      <c r="O19" s="18">
        <v>46208</v>
      </c>
      <c r="P19" s="18">
        <v>46234</v>
      </c>
      <c r="Q19" s="18">
        <v>46244</v>
      </c>
      <c r="R19" s="18">
        <v>46269</v>
      </c>
      <c r="S19" s="15" t="s">
        <v>241</v>
      </c>
      <c r="T19" s="18">
        <v>46268</v>
      </c>
      <c r="U19" s="18">
        <v>46270</v>
      </c>
      <c r="V19" s="15" t="s">
        <v>242</v>
      </c>
      <c r="W19" s="15" t="s">
        <v>86</v>
      </c>
      <c r="X19" s="12">
        <f t="shared" ca="1" si="1"/>
        <v>-61</v>
      </c>
      <c r="Y19" s="19" t="str">
        <f t="shared" ca="1" si="2"/>
        <v>Event in progress</v>
      </c>
      <c r="Z19" s="15" t="s">
        <v>243</v>
      </c>
      <c r="AA19" s="15" t="s">
        <v>244</v>
      </c>
      <c r="AB19" s="20" t="s">
        <v>245</v>
      </c>
      <c r="AC19" s="15" t="s">
        <v>27</v>
      </c>
      <c r="AD19" s="15" t="s">
        <v>246</v>
      </c>
      <c r="AE19" s="18">
        <v>46269</v>
      </c>
      <c r="AF19" s="15" t="s">
        <v>247</v>
      </c>
      <c r="AG19" s="18">
        <v>45345</v>
      </c>
    </row>
    <row r="20" spans="1:33" ht="96" customHeight="1" x14ac:dyDescent="0.35">
      <c r="A20" s="3">
        <v>19</v>
      </c>
      <c r="B20" s="4" t="s">
        <v>248</v>
      </c>
      <c r="C20" s="3">
        <v>2026</v>
      </c>
      <c r="D20" s="5" t="s">
        <v>66</v>
      </c>
      <c r="E20" s="6" t="s">
        <v>249</v>
      </c>
      <c r="F20" s="7" t="s">
        <v>52</v>
      </c>
      <c r="G20" s="5" t="s">
        <v>219</v>
      </c>
      <c r="H20" s="3">
        <f t="shared" si="0"/>
        <v>2</v>
      </c>
      <c r="I20" s="7" t="s">
        <v>53</v>
      </c>
      <c r="J20" s="6" t="s">
        <v>250</v>
      </c>
      <c r="K20" s="6" t="s">
        <v>251</v>
      </c>
      <c r="L20" s="8">
        <v>0</v>
      </c>
      <c r="M20" s="5" t="s">
        <v>66</v>
      </c>
      <c r="N20" s="9"/>
      <c r="O20" s="9">
        <v>46218</v>
      </c>
      <c r="P20" s="9">
        <v>46275</v>
      </c>
      <c r="Q20" s="9"/>
      <c r="R20" s="9">
        <v>46218</v>
      </c>
      <c r="S20" s="6" t="s">
        <v>252</v>
      </c>
      <c r="T20" s="9">
        <v>46287</v>
      </c>
      <c r="U20" s="9">
        <v>46289</v>
      </c>
      <c r="V20" s="6" t="s">
        <v>253</v>
      </c>
      <c r="W20" s="6" t="s">
        <v>115</v>
      </c>
      <c r="X20" s="3">
        <f t="shared" ca="1" si="1"/>
        <v>-51</v>
      </c>
      <c r="Y20" s="10" t="str">
        <f t="shared" ca="1" si="2"/>
        <v>Submissions closed - event ahead</v>
      </c>
      <c r="Z20" s="6" t="s">
        <v>254</v>
      </c>
      <c r="AA20" s="6" t="s">
        <v>255</v>
      </c>
      <c r="AB20" s="11" t="s">
        <v>256</v>
      </c>
      <c r="AC20" s="6" t="s">
        <v>119</v>
      </c>
      <c r="AD20" s="6" t="s">
        <v>257</v>
      </c>
      <c r="AE20" s="9">
        <v>46269</v>
      </c>
      <c r="AF20" s="6" t="s">
        <v>258</v>
      </c>
      <c r="AG20" s="9">
        <v>46269</v>
      </c>
    </row>
    <row r="21" spans="1:33" ht="84" customHeight="1" x14ac:dyDescent="0.35">
      <c r="A21" s="12">
        <v>20</v>
      </c>
      <c r="B21" s="13" t="s">
        <v>259</v>
      </c>
      <c r="C21" s="12">
        <v>2026</v>
      </c>
      <c r="D21" s="14" t="s">
        <v>260</v>
      </c>
      <c r="E21" s="15" t="s">
        <v>261</v>
      </c>
      <c r="F21" s="16" t="s">
        <v>36</v>
      </c>
      <c r="G21" s="14" t="s">
        <v>219</v>
      </c>
      <c r="H21" s="12">
        <f t="shared" si="0"/>
        <v>2</v>
      </c>
      <c r="I21" s="16" t="s">
        <v>53</v>
      </c>
      <c r="J21" s="15" t="s">
        <v>262</v>
      </c>
      <c r="K21" s="15" t="s">
        <v>263</v>
      </c>
      <c r="L21" s="17">
        <v>0</v>
      </c>
      <c r="M21" s="14" t="s">
        <v>66</v>
      </c>
      <c r="N21" s="18"/>
      <c r="O21" s="18">
        <v>46218</v>
      </c>
      <c r="P21" s="18">
        <v>46275</v>
      </c>
      <c r="Q21" s="18"/>
      <c r="R21" s="18">
        <v>46218</v>
      </c>
      <c r="S21" s="15" t="s">
        <v>252</v>
      </c>
      <c r="T21" s="18">
        <v>46287</v>
      </c>
      <c r="U21" s="18">
        <v>46289</v>
      </c>
      <c r="V21" s="15" t="s">
        <v>264</v>
      </c>
      <c r="W21" s="15" t="s">
        <v>115</v>
      </c>
      <c r="X21" s="12">
        <f t="shared" ca="1" si="1"/>
        <v>-51</v>
      </c>
      <c r="Y21" s="19" t="str">
        <f t="shared" ca="1" si="2"/>
        <v>Submissions closed - event ahead</v>
      </c>
      <c r="Z21" s="15" t="s">
        <v>254</v>
      </c>
      <c r="AA21" s="15" t="s">
        <v>265</v>
      </c>
      <c r="AB21" s="20" t="s">
        <v>256</v>
      </c>
      <c r="AC21" s="15" t="s">
        <v>119</v>
      </c>
      <c r="AD21" s="15" t="s">
        <v>257</v>
      </c>
      <c r="AE21" s="18">
        <v>46269</v>
      </c>
      <c r="AF21" s="15" t="s">
        <v>266</v>
      </c>
      <c r="AG21" s="18">
        <v>44730</v>
      </c>
    </row>
    <row r="22" spans="1:33" ht="48" customHeight="1" x14ac:dyDescent="0.35">
      <c r="A22" s="3">
        <v>21</v>
      </c>
      <c r="B22" s="4" t="s">
        <v>267</v>
      </c>
      <c r="C22" s="3">
        <v>2026</v>
      </c>
      <c r="D22" s="5" t="s">
        <v>66</v>
      </c>
      <c r="E22" s="6" t="s">
        <v>268</v>
      </c>
      <c r="F22" s="7" t="s">
        <v>52</v>
      </c>
      <c r="G22" s="5" t="s">
        <v>219</v>
      </c>
      <c r="H22" s="3">
        <f t="shared" si="0"/>
        <v>2</v>
      </c>
      <c r="I22" s="7" t="s">
        <v>53</v>
      </c>
      <c r="J22" s="6" t="s">
        <v>269</v>
      </c>
      <c r="K22" s="6" t="s">
        <v>112</v>
      </c>
      <c r="L22" s="8"/>
      <c r="M22" s="5"/>
      <c r="N22" s="9"/>
      <c r="O22" s="9">
        <v>46230</v>
      </c>
      <c r="P22" s="9">
        <v>46258</v>
      </c>
      <c r="Q22" s="9">
        <v>46279</v>
      </c>
      <c r="R22" s="9"/>
      <c r="S22" s="6" t="s">
        <v>270</v>
      </c>
      <c r="T22" s="9">
        <v>46303</v>
      </c>
      <c r="U22" s="9">
        <v>46304</v>
      </c>
      <c r="V22" s="6" t="s">
        <v>271</v>
      </c>
      <c r="W22" s="6" t="s">
        <v>115</v>
      </c>
      <c r="X22" s="3">
        <f t="shared" ca="1" si="1"/>
        <v>-39</v>
      </c>
      <c r="Y22" s="10" t="str">
        <f t="shared" ca="1" si="2"/>
        <v>Camera-ready due</v>
      </c>
      <c r="Z22" s="6" t="s">
        <v>272</v>
      </c>
      <c r="AA22" s="6" t="s">
        <v>273</v>
      </c>
      <c r="AB22" s="11" t="s">
        <v>274</v>
      </c>
      <c r="AC22" s="6" t="s">
        <v>119</v>
      </c>
      <c r="AD22" s="6" t="s">
        <v>275</v>
      </c>
      <c r="AE22" s="9">
        <v>46269</v>
      </c>
      <c r="AF22" s="6" t="s">
        <v>276</v>
      </c>
      <c r="AG22" s="9">
        <v>45620</v>
      </c>
    </row>
    <row r="23" spans="1:33" ht="48" customHeight="1" x14ac:dyDescent="0.35">
      <c r="A23" s="12">
        <v>22</v>
      </c>
      <c r="B23" s="13" t="s">
        <v>277</v>
      </c>
      <c r="C23" s="12">
        <v>2026</v>
      </c>
      <c r="D23" s="14" t="s">
        <v>278</v>
      </c>
      <c r="E23" s="15" t="s">
        <v>279</v>
      </c>
      <c r="F23" s="16" t="s">
        <v>52</v>
      </c>
      <c r="G23" s="14" t="s">
        <v>219</v>
      </c>
      <c r="H23" s="12">
        <f t="shared" si="0"/>
        <v>2</v>
      </c>
      <c r="I23" s="16" t="s">
        <v>38</v>
      </c>
      <c r="J23" s="15" t="s">
        <v>280</v>
      </c>
      <c r="K23" s="15" t="s">
        <v>281</v>
      </c>
      <c r="L23" s="17">
        <v>0</v>
      </c>
      <c r="M23" s="14" t="s">
        <v>66</v>
      </c>
      <c r="N23" s="18"/>
      <c r="O23" s="18">
        <v>46234</v>
      </c>
      <c r="P23" s="18"/>
      <c r="Q23" s="18">
        <v>46254</v>
      </c>
      <c r="R23" s="18"/>
      <c r="S23" s="15" t="s">
        <v>282</v>
      </c>
      <c r="T23" s="18">
        <v>46272</v>
      </c>
      <c r="U23" s="18">
        <v>46277</v>
      </c>
      <c r="V23" s="15" t="s">
        <v>283</v>
      </c>
      <c r="W23" s="15" t="s">
        <v>86</v>
      </c>
      <c r="X23" s="12">
        <f t="shared" ca="1" si="1"/>
        <v>-35</v>
      </c>
      <c r="Y23" s="19" t="str">
        <f t="shared" ca="1" si="2"/>
        <v>Submissions closed - event ahead</v>
      </c>
      <c r="Z23" s="15" t="s">
        <v>115</v>
      </c>
      <c r="AA23" s="15" t="s">
        <v>40</v>
      </c>
      <c r="AB23" s="20" t="s">
        <v>284</v>
      </c>
      <c r="AC23" s="15" t="s">
        <v>27</v>
      </c>
      <c r="AD23" s="15" t="s">
        <v>285</v>
      </c>
      <c r="AE23" s="18">
        <v>46269</v>
      </c>
      <c r="AF23" s="15" t="s">
        <v>286</v>
      </c>
      <c r="AG23" s="18">
        <v>44728</v>
      </c>
    </row>
    <row r="24" spans="1:33" ht="60" customHeight="1" x14ac:dyDescent="0.35">
      <c r="A24" s="3">
        <v>23</v>
      </c>
      <c r="B24" s="4" t="s">
        <v>287</v>
      </c>
      <c r="C24" s="3">
        <v>2026</v>
      </c>
      <c r="D24" s="5" t="s">
        <v>288</v>
      </c>
      <c r="E24" s="6" t="s">
        <v>289</v>
      </c>
      <c r="F24" s="7" t="s">
        <v>109</v>
      </c>
      <c r="G24" s="5" t="s">
        <v>219</v>
      </c>
      <c r="H24" s="3">
        <f t="shared" si="0"/>
        <v>2</v>
      </c>
      <c r="I24" s="7" t="s">
        <v>53</v>
      </c>
      <c r="J24" s="6" t="s">
        <v>290</v>
      </c>
      <c r="K24" s="6" t="s">
        <v>291</v>
      </c>
      <c r="L24" s="8">
        <v>0</v>
      </c>
      <c r="M24" s="5" t="s">
        <v>66</v>
      </c>
      <c r="N24" s="9"/>
      <c r="O24" s="9">
        <v>46237</v>
      </c>
      <c r="P24" s="9">
        <v>46275</v>
      </c>
      <c r="Q24" s="9">
        <v>46280</v>
      </c>
      <c r="R24" s="9"/>
      <c r="S24" s="6" t="s">
        <v>292</v>
      </c>
      <c r="T24" s="9">
        <v>46314</v>
      </c>
      <c r="U24" s="9">
        <v>46316</v>
      </c>
      <c r="V24" s="6" t="s">
        <v>293</v>
      </c>
      <c r="W24" s="6" t="s">
        <v>294</v>
      </c>
      <c r="X24" s="3">
        <f t="shared" ca="1" si="1"/>
        <v>-32</v>
      </c>
      <c r="Y24" s="10" t="str">
        <f t="shared" ca="1" si="2"/>
        <v>Camera-ready due</v>
      </c>
      <c r="Z24" s="6" t="s">
        <v>295</v>
      </c>
      <c r="AA24" s="6" t="s">
        <v>296</v>
      </c>
      <c r="AB24" s="11" t="s">
        <v>297</v>
      </c>
      <c r="AC24" s="6" t="s">
        <v>90</v>
      </c>
      <c r="AD24" s="6" t="s">
        <v>298</v>
      </c>
      <c r="AE24" s="9">
        <v>46269</v>
      </c>
      <c r="AF24" s="6" t="s">
        <v>299</v>
      </c>
      <c r="AG24" s="9">
        <v>44406</v>
      </c>
    </row>
    <row r="25" spans="1:33" ht="60" customHeight="1" x14ac:dyDescent="0.35">
      <c r="A25" s="12">
        <v>24</v>
      </c>
      <c r="B25" s="13" t="s">
        <v>300</v>
      </c>
      <c r="C25" s="12">
        <v>2026</v>
      </c>
      <c r="D25" s="14" t="s">
        <v>301</v>
      </c>
      <c r="E25" s="15" t="s">
        <v>302</v>
      </c>
      <c r="F25" s="16" t="s">
        <v>109</v>
      </c>
      <c r="G25" s="14" t="s">
        <v>219</v>
      </c>
      <c r="H25" s="12">
        <f t="shared" si="0"/>
        <v>2</v>
      </c>
      <c r="I25" s="16" t="s">
        <v>303</v>
      </c>
      <c r="J25" s="15" t="s">
        <v>304</v>
      </c>
      <c r="K25" s="15" t="s">
        <v>305</v>
      </c>
      <c r="L25" s="17"/>
      <c r="M25" s="14"/>
      <c r="N25" s="18">
        <v>46238</v>
      </c>
      <c r="O25" s="18">
        <v>46238</v>
      </c>
      <c r="P25" s="9">
        <v>46261</v>
      </c>
      <c r="Q25" s="9">
        <v>46280</v>
      </c>
      <c r="R25" s="9">
        <v>46269</v>
      </c>
      <c r="S25" s="15" t="s">
        <v>306</v>
      </c>
      <c r="T25" s="18">
        <v>46301</v>
      </c>
      <c r="U25" s="18">
        <v>46304</v>
      </c>
      <c r="V25" s="15" t="s">
        <v>307</v>
      </c>
      <c r="W25" s="15" t="s">
        <v>308</v>
      </c>
      <c r="X25" s="12">
        <f t="shared" ca="1" si="1"/>
        <v>-31</v>
      </c>
      <c r="Y25" s="19" t="str">
        <f t="shared" ca="1" si="2"/>
        <v>Camera-ready due</v>
      </c>
      <c r="Z25" s="15" t="s">
        <v>309</v>
      </c>
      <c r="AA25" s="15" t="s">
        <v>310</v>
      </c>
      <c r="AB25" s="20" t="s">
        <v>311</v>
      </c>
      <c r="AC25" s="15" t="s">
        <v>27</v>
      </c>
      <c r="AD25" s="15" t="s">
        <v>312</v>
      </c>
      <c r="AE25" s="18">
        <v>46269</v>
      </c>
      <c r="AF25" s="15" t="s">
        <v>313</v>
      </c>
      <c r="AG25" s="18">
        <v>45609</v>
      </c>
    </row>
    <row r="26" spans="1:33" ht="48" customHeight="1" x14ac:dyDescent="0.35">
      <c r="A26" s="3">
        <v>25</v>
      </c>
      <c r="B26" s="4" t="s">
        <v>314</v>
      </c>
      <c r="C26" s="3">
        <v>2026</v>
      </c>
      <c r="D26" s="5" t="s">
        <v>315</v>
      </c>
      <c r="E26" s="6" t="s">
        <v>316</v>
      </c>
      <c r="F26" s="7" t="s">
        <v>36</v>
      </c>
      <c r="G26" s="5" t="s">
        <v>219</v>
      </c>
      <c r="H26" s="3">
        <f t="shared" si="0"/>
        <v>2</v>
      </c>
      <c r="I26" s="7" t="s">
        <v>147</v>
      </c>
      <c r="J26" s="6" t="s">
        <v>317</v>
      </c>
      <c r="K26" s="6" t="s">
        <v>318</v>
      </c>
      <c r="L26" s="8">
        <v>50</v>
      </c>
      <c r="M26" s="5" t="s">
        <v>162</v>
      </c>
      <c r="N26" s="9"/>
      <c r="O26" s="9">
        <v>46246</v>
      </c>
      <c r="P26" s="9">
        <v>46267</v>
      </c>
      <c r="Q26" s="9">
        <v>46274</v>
      </c>
      <c r="R26" s="9">
        <v>46277</v>
      </c>
      <c r="S26" s="6" t="s">
        <v>319</v>
      </c>
      <c r="T26" s="9">
        <v>46297</v>
      </c>
      <c r="U26" s="9">
        <v>46299</v>
      </c>
      <c r="V26" s="6" t="s">
        <v>320</v>
      </c>
      <c r="W26" s="6" t="s">
        <v>321</v>
      </c>
      <c r="X26" s="3">
        <f t="shared" ca="1" si="1"/>
        <v>-23</v>
      </c>
      <c r="Y26" s="10" t="str">
        <f t="shared" ca="1" si="2"/>
        <v>Camera-ready due</v>
      </c>
      <c r="Z26" s="6" t="s">
        <v>322</v>
      </c>
      <c r="AA26" s="6" t="s">
        <v>323</v>
      </c>
      <c r="AB26" s="11" t="s">
        <v>324</v>
      </c>
      <c r="AC26" s="6" t="s">
        <v>27</v>
      </c>
      <c r="AD26" s="6" t="s">
        <v>325</v>
      </c>
      <c r="AE26" s="9">
        <v>46269</v>
      </c>
      <c r="AF26" s="6" t="s">
        <v>326</v>
      </c>
      <c r="AG26" s="9">
        <v>43964</v>
      </c>
    </row>
    <row r="27" spans="1:33" ht="72" customHeight="1" x14ac:dyDescent="0.35">
      <c r="A27" s="12">
        <v>26</v>
      </c>
      <c r="B27" s="13" t="s">
        <v>327</v>
      </c>
      <c r="C27" s="12">
        <v>2026</v>
      </c>
      <c r="D27" s="14" t="s">
        <v>328</v>
      </c>
      <c r="E27" s="15" t="s">
        <v>329</v>
      </c>
      <c r="F27" s="16" t="s">
        <v>36</v>
      </c>
      <c r="G27" s="14" t="s">
        <v>219</v>
      </c>
      <c r="H27" s="12">
        <f t="shared" si="0"/>
        <v>2</v>
      </c>
      <c r="I27" s="16" t="s">
        <v>147</v>
      </c>
      <c r="J27" s="15" t="s">
        <v>330</v>
      </c>
      <c r="K27" s="15" t="s">
        <v>331</v>
      </c>
      <c r="L27" s="17">
        <v>150</v>
      </c>
      <c r="M27" s="14" t="s">
        <v>162</v>
      </c>
      <c r="N27" s="18"/>
      <c r="O27" s="18">
        <v>46254</v>
      </c>
      <c r="P27" s="18">
        <v>46290</v>
      </c>
      <c r="Q27" s="18"/>
      <c r="R27" s="18">
        <v>46291</v>
      </c>
      <c r="S27" s="15" t="s">
        <v>332</v>
      </c>
      <c r="T27" s="18">
        <v>46309</v>
      </c>
      <c r="U27" s="18">
        <v>46312</v>
      </c>
      <c r="V27" s="15" t="s">
        <v>333</v>
      </c>
      <c r="W27" s="15" t="s">
        <v>86</v>
      </c>
      <c r="X27" s="12">
        <f t="shared" ca="1" si="1"/>
        <v>-15</v>
      </c>
      <c r="Y27" s="19" t="str">
        <f t="shared" ca="1" si="2"/>
        <v>Registration due</v>
      </c>
      <c r="Z27" s="15" t="s">
        <v>334</v>
      </c>
      <c r="AA27" s="15" t="s">
        <v>335</v>
      </c>
      <c r="AB27" s="20" t="s">
        <v>336</v>
      </c>
      <c r="AC27" s="15" t="s">
        <v>337</v>
      </c>
      <c r="AD27" s="15" t="s">
        <v>40</v>
      </c>
      <c r="AE27" s="18">
        <v>46269</v>
      </c>
      <c r="AF27" s="15" t="s">
        <v>338</v>
      </c>
      <c r="AG27" s="18">
        <v>43964</v>
      </c>
    </row>
    <row r="28" spans="1:33" ht="36" customHeight="1" x14ac:dyDescent="0.35">
      <c r="A28" s="3">
        <v>27</v>
      </c>
      <c r="B28" s="4" t="s">
        <v>339</v>
      </c>
      <c r="C28" s="3">
        <v>2026</v>
      </c>
      <c r="D28" s="5" t="s">
        <v>340</v>
      </c>
      <c r="E28" s="6" t="s">
        <v>341</v>
      </c>
      <c r="F28" s="7" t="s">
        <v>109</v>
      </c>
      <c r="G28" s="5" t="s">
        <v>219</v>
      </c>
      <c r="H28" s="3">
        <f t="shared" si="0"/>
        <v>2</v>
      </c>
      <c r="I28" s="7" t="s">
        <v>110</v>
      </c>
      <c r="J28" s="6" t="s">
        <v>342</v>
      </c>
      <c r="K28" s="6" t="s">
        <v>112</v>
      </c>
      <c r="L28" s="8"/>
      <c r="M28" s="5"/>
      <c r="N28" s="9"/>
      <c r="O28" s="9">
        <v>46266</v>
      </c>
      <c r="P28" s="9">
        <v>46295</v>
      </c>
      <c r="Q28" s="9">
        <v>46310</v>
      </c>
      <c r="R28" s="9"/>
      <c r="S28" s="6" t="s">
        <v>343</v>
      </c>
      <c r="T28" s="9">
        <v>46345</v>
      </c>
      <c r="U28" s="9">
        <v>46346</v>
      </c>
      <c r="V28" s="6" t="s">
        <v>344</v>
      </c>
      <c r="W28" s="6" t="s">
        <v>115</v>
      </c>
      <c r="X28" s="3">
        <f t="shared" ca="1" si="1"/>
        <v>-3</v>
      </c>
      <c r="Y28" s="10" t="str">
        <f t="shared" ca="1" si="2"/>
        <v>Camera-ready due</v>
      </c>
      <c r="Z28" s="6" t="s">
        <v>345</v>
      </c>
      <c r="AA28" s="6" t="s">
        <v>346</v>
      </c>
      <c r="AB28" s="11" t="s">
        <v>347</v>
      </c>
      <c r="AC28" s="6" t="s">
        <v>348</v>
      </c>
      <c r="AD28" s="6" t="s">
        <v>349</v>
      </c>
      <c r="AE28" s="9">
        <v>46269</v>
      </c>
      <c r="AF28" s="6" t="s">
        <v>350</v>
      </c>
      <c r="AG28" s="9">
        <v>44483</v>
      </c>
    </row>
    <row r="29" spans="1:33" ht="60" customHeight="1" x14ac:dyDescent="0.35">
      <c r="A29" s="12">
        <v>28</v>
      </c>
      <c r="B29" s="13" t="s">
        <v>351</v>
      </c>
      <c r="C29" s="12">
        <v>2027</v>
      </c>
      <c r="D29" s="14" t="s">
        <v>328</v>
      </c>
      <c r="E29" s="15" t="s">
        <v>352</v>
      </c>
      <c r="F29" s="16" t="s">
        <v>36</v>
      </c>
      <c r="G29" s="14" t="s">
        <v>219</v>
      </c>
      <c r="H29" s="12">
        <f t="shared" si="0"/>
        <v>2</v>
      </c>
      <c r="I29" s="16" t="s">
        <v>147</v>
      </c>
      <c r="J29" s="15" t="s">
        <v>353</v>
      </c>
      <c r="K29" s="15" t="s">
        <v>354</v>
      </c>
      <c r="L29" s="17"/>
      <c r="M29" s="14"/>
      <c r="N29" s="18"/>
      <c r="O29" s="18"/>
      <c r="P29" s="18">
        <v>46660</v>
      </c>
      <c r="Q29" s="18">
        <v>46614</v>
      </c>
      <c r="R29" s="18"/>
      <c r="S29" s="15" t="s">
        <v>355</v>
      </c>
      <c r="T29" s="18">
        <v>46673</v>
      </c>
      <c r="U29" s="18">
        <v>46676</v>
      </c>
      <c r="V29" s="15" t="s">
        <v>356</v>
      </c>
      <c r="W29" s="15" t="s">
        <v>357</v>
      </c>
      <c r="X29" s="12" t="str">
        <f t="shared" ca="1" si="1"/>
        <v/>
      </c>
      <c r="Y29" s="19" t="str">
        <f t="shared" ca="1" si="2"/>
        <v>Deadline not published</v>
      </c>
      <c r="Z29" s="15" t="s">
        <v>115</v>
      </c>
      <c r="AA29" s="15" t="s">
        <v>358</v>
      </c>
      <c r="AB29" s="20" t="s">
        <v>359</v>
      </c>
      <c r="AC29" s="15" t="s">
        <v>27</v>
      </c>
      <c r="AD29" s="15" t="s">
        <v>40</v>
      </c>
      <c r="AE29" s="18">
        <v>46269</v>
      </c>
      <c r="AF29" s="15" t="s">
        <v>360</v>
      </c>
      <c r="AG29" s="18">
        <v>44779</v>
      </c>
    </row>
    <row r="30" spans="1:33" ht="36" customHeight="1" x14ac:dyDescent="0.35">
      <c r="A30" s="3">
        <v>29</v>
      </c>
      <c r="B30" s="4" t="s">
        <v>361</v>
      </c>
      <c r="C30" s="3">
        <v>2024</v>
      </c>
      <c r="D30" s="5" t="s">
        <v>80</v>
      </c>
      <c r="E30" s="6" t="s">
        <v>362</v>
      </c>
      <c r="F30" s="7" t="s">
        <v>52</v>
      </c>
      <c r="G30" s="5" t="s">
        <v>363</v>
      </c>
      <c r="H30" s="3">
        <f t="shared" si="0"/>
        <v>3</v>
      </c>
      <c r="I30" s="7" t="s">
        <v>53</v>
      </c>
      <c r="J30" s="6" t="s">
        <v>115</v>
      </c>
      <c r="K30" s="6" t="s">
        <v>112</v>
      </c>
      <c r="L30" s="8"/>
      <c r="M30" s="5"/>
      <c r="N30" s="9"/>
      <c r="O30" s="9">
        <v>45457</v>
      </c>
      <c r="P30" s="9"/>
      <c r="Q30" s="9"/>
      <c r="R30" s="9"/>
      <c r="S30" s="6" t="s">
        <v>364</v>
      </c>
      <c r="T30" s="9">
        <v>45584</v>
      </c>
      <c r="U30" s="9">
        <v>45584</v>
      </c>
      <c r="V30" s="6" t="s">
        <v>365</v>
      </c>
      <c r="W30" s="6" t="s">
        <v>115</v>
      </c>
      <c r="X30" s="3">
        <f t="shared" ca="1" si="1"/>
        <v>-812</v>
      </c>
      <c r="Y30" s="10" t="str">
        <f t="shared" ca="1" si="2"/>
        <v>Expired</v>
      </c>
      <c r="Z30" s="6" t="s">
        <v>366</v>
      </c>
      <c r="AA30" s="6" t="s">
        <v>40</v>
      </c>
      <c r="AB30" s="11" t="s">
        <v>367</v>
      </c>
      <c r="AC30" s="6" t="s">
        <v>27</v>
      </c>
      <c r="AD30" s="6" t="s">
        <v>368</v>
      </c>
      <c r="AE30" s="9">
        <v>46269</v>
      </c>
      <c r="AF30" s="6" t="s">
        <v>369</v>
      </c>
      <c r="AG30" s="9">
        <v>45723</v>
      </c>
    </row>
    <row r="31" spans="1:33" ht="36" customHeight="1" x14ac:dyDescent="0.35">
      <c r="A31" s="12">
        <v>30</v>
      </c>
      <c r="B31" s="13" t="s">
        <v>370</v>
      </c>
      <c r="C31" s="12">
        <v>2024</v>
      </c>
      <c r="D31" s="14" t="s">
        <v>371</v>
      </c>
      <c r="E31" s="15" t="s">
        <v>372</v>
      </c>
      <c r="F31" s="16" t="s">
        <v>36</v>
      </c>
      <c r="G31" s="14" t="s">
        <v>363</v>
      </c>
      <c r="H31" s="12">
        <f t="shared" si="0"/>
        <v>3</v>
      </c>
      <c r="I31" s="16" t="s">
        <v>373</v>
      </c>
      <c r="J31" s="15" t="s">
        <v>115</v>
      </c>
      <c r="K31" s="15" t="s">
        <v>374</v>
      </c>
      <c r="L31" s="17">
        <v>500</v>
      </c>
      <c r="M31" s="14" t="s">
        <v>162</v>
      </c>
      <c r="N31" s="18"/>
      <c r="O31" s="18">
        <v>45520</v>
      </c>
      <c r="P31" s="18">
        <v>45543</v>
      </c>
      <c r="Q31" s="18">
        <v>45562</v>
      </c>
      <c r="R31" s="18"/>
      <c r="S31" s="15" t="s">
        <v>375</v>
      </c>
      <c r="T31" s="18">
        <v>45593</v>
      </c>
      <c r="U31" s="18">
        <v>45595</v>
      </c>
      <c r="V31" s="15" t="s">
        <v>376</v>
      </c>
      <c r="W31" s="15" t="s">
        <v>115</v>
      </c>
      <c r="X31" s="12">
        <f t="shared" ca="1" si="1"/>
        <v>-749</v>
      </c>
      <c r="Y31" s="19" t="str">
        <f t="shared" ca="1" si="2"/>
        <v>Expired</v>
      </c>
      <c r="Z31" s="15" t="s">
        <v>115</v>
      </c>
      <c r="AA31" s="15" t="s">
        <v>40</v>
      </c>
      <c r="AB31" s="20" t="s">
        <v>377</v>
      </c>
      <c r="AC31" s="15" t="s">
        <v>27</v>
      </c>
      <c r="AD31" s="15" t="s">
        <v>40</v>
      </c>
      <c r="AE31" s="18">
        <v>46269</v>
      </c>
      <c r="AF31" s="15" t="s">
        <v>378</v>
      </c>
      <c r="AG31" s="18">
        <v>45666</v>
      </c>
    </row>
    <row r="32" spans="1:33" ht="24" customHeight="1" x14ac:dyDescent="0.35">
      <c r="A32" s="3">
        <v>31</v>
      </c>
      <c r="B32" s="4" t="s">
        <v>379</v>
      </c>
      <c r="C32" s="3">
        <v>2024</v>
      </c>
      <c r="D32" s="5" t="s">
        <v>301</v>
      </c>
      <c r="E32" s="6" t="s">
        <v>380</v>
      </c>
      <c r="F32" s="7" t="s">
        <v>36</v>
      </c>
      <c r="G32" s="5" t="s">
        <v>363</v>
      </c>
      <c r="H32" s="3">
        <f t="shared" si="0"/>
        <v>3</v>
      </c>
      <c r="I32" s="7" t="s">
        <v>147</v>
      </c>
      <c r="J32" s="6" t="s">
        <v>381</v>
      </c>
      <c r="K32" s="6" t="s">
        <v>382</v>
      </c>
      <c r="L32" s="8">
        <v>0</v>
      </c>
      <c r="M32" s="5" t="s">
        <v>66</v>
      </c>
      <c r="N32" s="9"/>
      <c r="O32" s="9">
        <v>45545</v>
      </c>
      <c r="P32" s="9">
        <v>45590</v>
      </c>
      <c r="Q32" s="9"/>
      <c r="R32" s="9">
        <v>45595</v>
      </c>
      <c r="S32" s="6" t="s">
        <v>383</v>
      </c>
      <c r="T32" s="9">
        <v>45617</v>
      </c>
      <c r="U32" s="9">
        <v>45619</v>
      </c>
      <c r="V32" s="6" t="s">
        <v>384</v>
      </c>
      <c r="W32" s="6" t="s">
        <v>43</v>
      </c>
      <c r="X32" s="3">
        <f t="shared" ca="1" si="1"/>
        <v>-724</v>
      </c>
      <c r="Y32" s="10" t="str">
        <f t="shared" ca="1" si="2"/>
        <v>Expired</v>
      </c>
      <c r="Z32" s="6" t="s">
        <v>115</v>
      </c>
      <c r="AA32" s="6" t="s">
        <v>40</v>
      </c>
      <c r="AB32" s="11" t="s">
        <v>385</v>
      </c>
      <c r="AC32" s="6" t="s">
        <v>27</v>
      </c>
      <c r="AD32" s="6" t="s">
        <v>40</v>
      </c>
      <c r="AE32" s="9">
        <v>46269</v>
      </c>
      <c r="AF32" s="6" t="s">
        <v>386</v>
      </c>
      <c r="AG32" s="9">
        <v>44928</v>
      </c>
    </row>
    <row r="33" spans="1:33" ht="48" customHeight="1" x14ac:dyDescent="0.35">
      <c r="A33" s="12">
        <v>32</v>
      </c>
      <c r="B33" s="13" t="s">
        <v>387</v>
      </c>
      <c r="C33" s="12">
        <v>2024</v>
      </c>
      <c r="D33" s="14" t="s">
        <v>123</v>
      </c>
      <c r="E33" s="15" t="s">
        <v>388</v>
      </c>
      <c r="F33" s="16" t="s">
        <v>36</v>
      </c>
      <c r="G33" s="14" t="s">
        <v>363</v>
      </c>
      <c r="H33" s="12">
        <f t="shared" si="0"/>
        <v>3</v>
      </c>
      <c r="I33" s="16" t="s">
        <v>389</v>
      </c>
      <c r="J33" s="15" t="s">
        <v>390</v>
      </c>
      <c r="K33" s="15" t="s">
        <v>391</v>
      </c>
      <c r="L33" s="17">
        <v>100</v>
      </c>
      <c r="M33" s="14" t="s">
        <v>56</v>
      </c>
      <c r="N33" s="18"/>
      <c r="O33" s="18">
        <v>45556</v>
      </c>
      <c r="P33" s="18"/>
      <c r="Q33" s="18"/>
      <c r="R33" s="18"/>
      <c r="S33" s="15" t="s">
        <v>392</v>
      </c>
      <c r="T33" s="18">
        <v>45561</v>
      </c>
      <c r="U33" s="18">
        <v>45561</v>
      </c>
      <c r="V33" s="15" t="s">
        <v>393</v>
      </c>
      <c r="W33" s="15" t="s">
        <v>115</v>
      </c>
      <c r="X33" s="12">
        <f t="shared" ca="1" si="1"/>
        <v>-713</v>
      </c>
      <c r="Y33" s="19" t="str">
        <f t="shared" ca="1" si="2"/>
        <v>Expired</v>
      </c>
      <c r="Z33" s="15" t="s">
        <v>394</v>
      </c>
      <c r="AA33" s="15" t="s">
        <v>40</v>
      </c>
      <c r="AB33" s="20" t="s">
        <v>395</v>
      </c>
      <c r="AC33" s="15" t="s">
        <v>27</v>
      </c>
      <c r="AD33" s="15" t="s">
        <v>396</v>
      </c>
      <c r="AE33" s="18">
        <v>46269</v>
      </c>
      <c r="AF33" s="15" t="s">
        <v>397</v>
      </c>
      <c r="AG33" s="18">
        <v>44281</v>
      </c>
    </row>
    <row r="34" spans="1:33" ht="36" customHeight="1" x14ac:dyDescent="0.35">
      <c r="A34" s="3">
        <v>33</v>
      </c>
      <c r="B34" s="4" t="s">
        <v>398</v>
      </c>
      <c r="C34" s="3">
        <v>2024</v>
      </c>
      <c r="D34" s="5" t="s">
        <v>66</v>
      </c>
      <c r="E34" s="6" t="s">
        <v>399</v>
      </c>
      <c r="F34" s="7" t="s">
        <v>52</v>
      </c>
      <c r="G34" s="5" t="s">
        <v>363</v>
      </c>
      <c r="H34" s="3">
        <f t="shared" ref="H34:H65" si="3">IF($G34="High",1,IF($G34="Mediocre",2,3))</f>
        <v>3</v>
      </c>
      <c r="I34" s="7" t="s">
        <v>53</v>
      </c>
      <c r="J34" s="6" t="s">
        <v>400</v>
      </c>
      <c r="K34" s="6" t="s">
        <v>112</v>
      </c>
      <c r="L34" s="8"/>
      <c r="M34" s="5"/>
      <c r="N34" s="9"/>
      <c r="O34" s="9">
        <v>45565</v>
      </c>
      <c r="P34" s="9">
        <v>45585</v>
      </c>
      <c r="Q34" s="9">
        <v>45600</v>
      </c>
      <c r="R34" s="9"/>
      <c r="S34" s="6" t="s">
        <v>401</v>
      </c>
      <c r="T34" s="9">
        <v>45622</v>
      </c>
      <c r="U34" s="9">
        <v>45622</v>
      </c>
      <c r="V34" s="6" t="s">
        <v>402</v>
      </c>
      <c r="W34" s="6" t="s">
        <v>115</v>
      </c>
      <c r="X34" s="3">
        <f t="shared" ref="X34:X65" ca="1" si="4">IF(O34="","",INT(O34)-TODAY())</f>
        <v>-704</v>
      </c>
      <c r="Y34" s="10" t="str">
        <f t="shared" ref="Y34:Y65" ca="1" si="5">IF($G34="Finished","Expired",IF(AND(O34&lt;&gt;"",INT(O34)&gt;=TODAY()),IF(INT(O34)-TODAY()&lt;=30,"Open - closing soon","Open"),IF(AND(T34&lt;&gt;"",U34&lt;&gt;"",INT(T34)&lt;=TODAY(),INT(U34)&gt;=TODAY()),"Event in progress",IF(AND(O34="",R34&lt;&gt;"",INT(R34)&gt;=TODAY()),"Registration due",IF(AND(O34="",U34&lt;&gt;"",INT(U34)&gt;=TODAY()),"Deadline not published",IF(AND(O34&lt;&gt;"",Q34&lt;&gt;"",INT(Q34)&gt;=TODAY()),"Camera-ready due",IF(AND(O34&lt;&gt;"",R34&lt;&gt;"",INT(R34)&gt;=TODAY()),"Registration due",IF(AND(U34&lt;&gt;"",INT(U34)&gt;=TODAY()),"Submissions closed - event ahead","Expired"))))))))</f>
        <v>Expired</v>
      </c>
      <c r="Z34" s="6" t="s">
        <v>115</v>
      </c>
      <c r="AA34" s="6" t="s">
        <v>40</v>
      </c>
      <c r="AB34" s="11" t="s">
        <v>403</v>
      </c>
      <c r="AC34" s="6" t="s">
        <v>27</v>
      </c>
      <c r="AD34" s="6" t="s">
        <v>40</v>
      </c>
      <c r="AE34" s="9">
        <v>46269</v>
      </c>
      <c r="AF34" s="6" t="s">
        <v>404</v>
      </c>
      <c r="AG34" s="9">
        <v>45674</v>
      </c>
    </row>
    <row r="35" spans="1:33" ht="48" customHeight="1" x14ac:dyDescent="0.35">
      <c r="A35" s="12">
        <v>34</v>
      </c>
      <c r="B35" s="13" t="s">
        <v>405</v>
      </c>
      <c r="C35" s="12">
        <v>2024</v>
      </c>
      <c r="D35" s="14" t="s">
        <v>66</v>
      </c>
      <c r="E35" s="15" t="s">
        <v>406</v>
      </c>
      <c r="F35" s="16" t="s">
        <v>407</v>
      </c>
      <c r="G35" s="14" t="s">
        <v>363</v>
      </c>
      <c r="H35" s="12">
        <f t="shared" si="3"/>
        <v>3</v>
      </c>
      <c r="I35" s="16" t="s">
        <v>53</v>
      </c>
      <c r="J35" s="15" t="s">
        <v>408</v>
      </c>
      <c r="K35" s="15" t="s">
        <v>409</v>
      </c>
      <c r="L35" s="17">
        <v>0</v>
      </c>
      <c r="M35" s="14" t="s">
        <v>66</v>
      </c>
      <c r="N35" s="18"/>
      <c r="O35" s="18">
        <v>45566</v>
      </c>
      <c r="P35" s="18">
        <v>45575</v>
      </c>
      <c r="Q35" s="18">
        <v>45585</v>
      </c>
      <c r="R35" s="18">
        <v>45585</v>
      </c>
      <c r="S35" s="15" t="s">
        <v>410</v>
      </c>
      <c r="T35" s="18">
        <v>45601</v>
      </c>
      <c r="U35" s="18">
        <v>45601</v>
      </c>
      <c r="V35" s="15" t="s">
        <v>411</v>
      </c>
      <c r="W35" s="15" t="s">
        <v>412</v>
      </c>
      <c r="X35" s="12">
        <f t="shared" ca="1" si="4"/>
        <v>-703</v>
      </c>
      <c r="Y35" s="19" t="str">
        <f t="shared" ca="1" si="5"/>
        <v>Expired</v>
      </c>
      <c r="Z35" s="15" t="s">
        <v>115</v>
      </c>
      <c r="AA35" s="15" t="s">
        <v>40</v>
      </c>
      <c r="AB35" s="20" t="s">
        <v>413</v>
      </c>
      <c r="AC35" s="15" t="s">
        <v>27</v>
      </c>
      <c r="AD35" s="15" t="s">
        <v>414</v>
      </c>
      <c r="AE35" s="18">
        <v>46269</v>
      </c>
      <c r="AF35" s="15" t="s">
        <v>415</v>
      </c>
      <c r="AG35" s="18">
        <v>45674</v>
      </c>
    </row>
    <row r="36" spans="1:33" ht="60" customHeight="1" x14ac:dyDescent="0.35">
      <c r="A36" s="3">
        <v>35</v>
      </c>
      <c r="B36" s="4" t="s">
        <v>416</v>
      </c>
      <c r="C36" s="3">
        <v>2024</v>
      </c>
      <c r="D36" s="5" t="s">
        <v>94</v>
      </c>
      <c r="E36" s="6" t="s">
        <v>417</v>
      </c>
      <c r="F36" s="7" t="s">
        <v>109</v>
      </c>
      <c r="G36" s="5" t="s">
        <v>363</v>
      </c>
      <c r="H36" s="3">
        <f t="shared" si="3"/>
        <v>3</v>
      </c>
      <c r="I36" s="7" t="s">
        <v>110</v>
      </c>
      <c r="J36" s="6" t="s">
        <v>418</v>
      </c>
      <c r="K36" s="6" t="s">
        <v>419</v>
      </c>
      <c r="L36" s="8">
        <v>0</v>
      </c>
      <c r="M36" s="5" t="s">
        <v>66</v>
      </c>
      <c r="N36" s="9">
        <v>45590</v>
      </c>
      <c r="O36" s="9">
        <v>45590</v>
      </c>
      <c r="P36" s="9">
        <v>45595</v>
      </c>
      <c r="Q36" s="9">
        <v>45688</v>
      </c>
      <c r="R36" s="9">
        <v>45601</v>
      </c>
      <c r="S36" s="6" t="s">
        <v>420</v>
      </c>
      <c r="T36" s="9">
        <v>45602</v>
      </c>
      <c r="U36" s="9">
        <v>45604</v>
      </c>
      <c r="V36" s="6" t="s">
        <v>421</v>
      </c>
      <c r="W36" s="6" t="s">
        <v>86</v>
      </c>
      <c r="X36" s="3">
        <f t="shared" ca="1" si="4"/>
        <v>-679</v>
      </c>
      <c r="Y36" s="10" t="str">
        <f t="shared" ca="1" si="5"/>
        <v>Expired</v>
      </c>
      <c r="Z36" s="6" t="s">
        <v>115</v>
      </c>
      <c r="AA36" s="6" t="s">
        <v>40</v>
      </c>
      <c r="AB36" s="11" t="s">
        <v>422</v>
      </c>
      <c r="AC36" s="6" t="s">
        <v>423</v>
      </c>
      <c r="AD36" s="6" t="s">
        <v>40</v>
      </c>
      <c r="AE36" s="9">
        <v>46269</v>
      </c>
      <c r="AF36" s="6" t="s">
        <v>424</v>
      </c>
      <c r="AG36" s="9">
        <v>44728</v>
      </c>
    </row>
    <row r="37" spans="1:33" ht="24" customHeight="1" x14ac:dyDescent="0.35">
      <c r="A37" s="12">
        <v>36</v>
      </c>
      <c r="B37" s="13" t="s">
        <v>425</v>
      </c>
      <c r="C37" s="12">
        <v>2024</v>
      </c>
      <c r="D37" s="14" t="s">
        <v>80</v>
      </c>
      <c r="E37" s="15" t="s">
        <v>426</v>
      </c>
      <c r="F37" s="16" t="s">
        <v>36</v>
      </c>
      <c r="G37" s="14" t="s">
        <v>363</v>
      </c>
      <c r="H37" s="12">
        <f t="shared" si="3"/>
        <v>3</v>
      </c>
      <c r="I37" s="16" t="s">
        <v>389</v>
      </c>
      <c r="J37" s="15" t="s">
        <v>427</v>
      </c>
      <c r="K37" s="15" t="s">
        <v>428</v>
      </c>
      <c r="L37" s="17">
        <v>0</v>
      </c>
      <c r="M37" s="14" t="s">
        <v>66</v>
      </c>
      <c r="N37" s="18">
        <v>45607</v>
      </c>
      <c r="O37" s="18">
        <v>45607</v>
      </c>
      <c r="P37" s="18"/>
      <c r="Q37" s="18"/>
      <c r="R37" s="18">
        <v>45607</v>
      </c>
      <c r="S37" s="15" t="s">
        <v>401</v>
      </c>
      <c r="T37" s="18">
        <v>45622</v>
      </c>
      <c r="U37" s="18">
        <v>45622</v>
      </c>
      <c r="V37" s="15" t="s">
        <v>429</v>
      </c>
      <c r="W37" s="15" t="s">
        <v>430</v>
      </c>
      <c r="X37" s="12">
        <f t="shared" ca="1" si="4"/>
        <v>-662</v>
      </c>
      <c r="Y37" s="19" t="str">
        <f t="shared" ca="1" si="5"/>
        <v>Expired</v>
      </c>
      <c r="Z37" s="15" t="s">
        <v>431</v>
      </c>
      <c r="AA37" s="15" t="s">
        <v>432</v>
      </c>
      <c r="AB37" s="20" t="s">
        <v>433</v>
      </c>
      <c r="AC37" s="15" t="s">
        <v>27</v>
      </c>
      <c r="AD37" s="15" t="s">
        <v>434</v>
      </c>
      <c r="AE37" s="18">
        <v>46269</v>
      </c>
      <c r="AF37" s="15" t="s">
        <v>435</v>
      </c>
      <c r="AG37" s="18">
        <v>44731</v>
      </c>
    </row>
    <row r="38" spans="1:33" ht="24" customHeight="1" x14ac:dyDescent="0.35">
      <c r="A38" s="3">
        <v>37</v>
      </c>
      <c r="B38" s="4" t="s">
        <v>436</v>
      </c>
      <c r="C38" s="3">
        <v>2025</v>
      </c>
      <c r="D38" s="5" t="s">
        <v>66</v>
      </c>
      <c r="E38" s="6" t="s">
        <v>437</v>
      </c>
      <c r="F38" s="7" t="s">
        <v>52</v>
      </c>
      <c r="G38" s="5" t="s">
        <v>363</v>
      </c>
      <c r="H38" s="3">
        <f t="shared" si="3"/>
        <v>3</v>
      </c>
      <c r="I38" s="7" t="s">
        <v>53</v>
      </c>
      <c r="J38" s="6" t="s">
        <v>115</v>
      </c>
      <c r="K38" s="6" t="s">
        <v>409</v>
      </c>
      <c r="L38" s="8">
        <v>0</v>
      </c>
      <c r="M38" s="5" t="s">
        <v>66</v>
      </c>
      <c r="N38" s="9"/>
      <c r="O38" s="9">
        <v>45621</v>
      </c>
      <c r="P38" s="9">
        <v>45635</v>
      </c>
      <c r="Q38" s="9">
        <v>45642</v>
      </c>
      <c r="R38" s="9">
        <v>45642</v>
      </c>
      <c r="S38" s="6" t="s">
        <v>438</v>
      </c>
      <c r="T38" s="9">
        <v>45663</v>
      </c>
      <c r="U38" s="9">
        <v>45663</v>
      </c>
      <c r="V38" s="6" t="s">
        <v>411</v>
      </c>
      <c r="W38" s="6" t="s">
        <v>439</v>
      </c>
      <c r="X38" s="3">
        <f t="shared" ca="1" si="4"/>
        <v>-648</v>
      </c>
      <c r="Y38" s="10" t="str">
        <f t="shared" ca="1" si="5"/>
        <v>Expired</v>
      </c>
      <c r="Z38" s="6" t="s">
        <v>115</v>
      </c>
      <c r="AA38" s="6" t="s">
        <v>40</v>
      </c>
      <c r="AB38" s="11" t="s">
        <v>440</v>
      </c>
      <c r="AC38" s="6" t="s">
        <v>27</v>
      </c>
      <c r="AD38" s="6" t="s">
        <v>441</v>
      </c>
      <c r="AE38" s="9">
        <v>46269</v>
      </c>
      <c r="AF38" s="6" t="s">
        <v>442</v>
      </c>
      <c r="AG38" s="9">
        <v>45723</v>
      </c>
    </row>
    <row r="39" spans="1:33" ht="48" customHeight="1" x14ac:dyDescent="0.35">
      <c r="A39" s="12">
        <v>38</v>
      </c>
      <c r="B39" s="13" t="s">
        <v>443</v>
      </c>
      <c r="C39" s="12">
        <v>2025</v>
      </c>
      <c r="D39" s="14" t="s">
        <v>66</v>
      </c>
      <c r="E39" s="15" t="s">
        <v>444</v>
      </c>
      <c r="F39" s="16" t="s">
        <v>36</v>
      </c>
      <c r="G39" s="14" t="s">
        <v>363</v>
      </c>
      <c r="H39" s="12">
        <f t="shared" si="3"/>
        <v>3</v>
      </c>
      <c r="I39" s="16" t="s">
        <v>147</v>
      </c>
      <c r="J39" s="15" t="s">
        <v>445</v>
      </c>
      <c r="K39" s="15" t="s">
        <v>446</v>
      </c>
      <c r="L39" s="17">
        <v>50</v>
      </c>
      <c r="M39" s="14" t="s">
        <v>162</v>
      </c>
      <c r="N39" s="18">
        <v>45659</v>
      </c>
      <c r="O39" s="18">
        <v>45659</v>
      </c>
      <c r="P39" s="18"/>
      <c r="Q39" s="18"/>
      <c r="R39" s="18"/>
      <c r="S39" s="15" t="s">
        <v>447</v>
      </c>
      <c r="T39" s="18"/>
      <c r="U39" s="18"/>
      <c r="V39" s="15" t="s">
        <v>115</v>
      </c>
      <c r="W39" s="15" t="s">
        <v>115</v>
      </c>
      <c r="X39" s="12">
        <f t="shared" ca="1" si="4"/>
        <v>-610</v>
      </c>
      <c r="Y39" s="19" t="str">
        <f t="shared" ca="1" si="5"/>
        <v>Expired</v>
      </c>
      <c r="Z39" s="15" t="s">
        <v>115</v>
      </c>
      <c r="AA39" s="15" t="s">
        <v>40</v>
      </c>
      <c r="AB39" s="20" t="s">
        <v>448</v>
      </c>
      <c r="AC39" s="15" t="s">
        <v>27</v>
      </c>
      <c r="AD39" s="15" t="s">
        <v>40</v>
      </c>
      <c r="AE39" s="18">
        <v>46269</v>
      </c>
      <c r="AF39" s="15" t="s">
        <v>449</v>
      </c>
      <c r="AG39" s="18">
        <v>44731</v>
      </c>
    </row>
    <row r="40" spans="1:33" ht="36" customHeight="1" x14ac:dyDescent="0.35">
      <c r="A40" s="3">
        <v>39</v>
      </c>
      <c r="B40" s="4" t="s">
        <v>450</v>
      </c>
      <c r="C40" s="3">
        <v>2025</v>
      </c>
      <c r="D40" s="5" t="s">
        <v>66</v>
      </c>
      <c r="E40" s="6" t="s">
        <v>451</v>
      </c>
      <c r="F40" s="7" t="s">
        <v>36</v>
      </c>
      <c r="G40" s="5" t="s">
        <v>363</v>
      </c>
      <c r="H40" s="3">
        <f t="shared" si="3"/>
        <v>3</v>
      </c>
      <c r="I40" s="7" t="s">
        <v>110</v>
      </c>
      <c r="J40" s="6" t="s">
        <v>452</v>
      </c>
      <c r="K40" s="6" t="s">
        <v>453</v>
      </c>
      <c r="L40" s="8">
        <v>0</v>
      </c>
      <c r="M40" s="5" t="s">
        <v>66</v>
      </c>
      <c r="N40" s="9"/>
      <c r="O40" s="9">
        <v>45677</v>
      </c>
      <c r="P40" s="9"/>
      <c r="Q40" s="9"/>
      <c r="R40" s="9"/>
      <c r="S40" s="6" t="s">
        <v>454</v>
      </c>
      <c r="T40" s="9">
        <v>45691</v>
      </c>
      <c r="U40" s="9">
        <v>45691</v>
      </c>
      <c r="V40" s="6" t="s">
        <v>115</v>
      </c>
      <c r="W40" s="6" t="s">
        <v>115</v>
      </c>
      <c r="X40" s="3">
        <f t="shared" ca="1" si="4"/>
        <v>-592</v>
      </c>
      <c r="Y40" s="10" t="str">
        <f t="shared" ca="1" si="5"/>
        <v>Expired</v>
      </c>
      <c r="Z40" s="6" t="s">
        <v>115</v>
      </c>
      <c r="AA40" s="6" t="s">
        <v>40</v>
      </c>
      <c r="AB40" s="11" t="s">
        <v>455</v>
      </c>
      <c r="AC40" s="6" t="s">
        <v>27</v>
      </c>
      <c r="AD40" s="6" t="s">
        <v>456</v>
      </c>
      <c r="AE40" s="9">
        <v>46269</v>
      </c>
      <c r="AF40" s="6" t="s">
        <v>457</v>
      </c>
      <c r="AG40" s="9">
        <v>45713</v>
      </c>
    </row>
    <row r="41" spans="1:33" ht="60" customHeight="1" x14ac:dyDescent="0.35">
      <c r="A41" s="12">
        <v>40</v>
      </c>
      <c r="B41" s="13" t="s">
        <v>458</v>
      </c>
      <c r="C41" s="12">
        <v>2025</v>
      </c>
      <c r="D41" s="14" t="s">
        <v>288</v>
      </c>
      <c r="E41" s="15" t="s">
        <v>459</v>
      </c>
      <c r="F41" s="16" t="s">
        <v>36</v>
      </c>
      <c r="G41" s="14" t="s">
        <v>363</v>
      </c>
      <c r="H41" s="12">
        <f t="shared" si="3"/>
        <v>3</v>
      </c>
      <c r="I41" s="16" t="s">
        <v>460</v>
      </c>
      <c r="J41" s="15" t="s">
        <v>461</v>
      </c>
      <c r="K41" s="15" t="s">
        <v>462</v>
      </c>
      <c r="L41" s="17">
        <v>0</v>
      </c>
      <c r="M41" s="14" t="s">
        <v>66</v>
      </c>
      <c r="N41" s="18"/>
      <c r="O41" s="18">
        <v>45688</v>
      </c>
      <c r="P41" s="18">
        <v>45748</v>
      </c>
      <c r="Q41" s="18">
        <v>45778</v>
      </c>
      <c r="R41" s="18">
        <v>45788</v>
      </c>
      <c r="S41" s="15" t="s">
        <v>463</v>
      </c>
      <c r="T41" s="18">
        <v>45798</v>
      </c>
      <c r="U41" s="18">
        <v>45800</v>
      </c>
      <c r="V41" s="15" t="s">
        <v>464</v>
      </c>
      <c r="W41" s="15" t="s">
        <v>115</v>
      </c>
      <c r="X41" s="12">
        <f t="shared" ca="1" si="4"/>
        <v>-581</v>
      </c>
      <c r="Y41" s="19" t="str">
        <f t="shared" ca="1" si="5"/>
        <v>Expired</v>
      </c>
      <c r="Z41" s="15" t="s">
        <v>465</v>
      </c>
      <c r="AA41" s="15" t="s">
        <v>466</v>
      </c>
      <c r="AB41" s="20" t="s">
        <v>467</v>
      </c>
      <c r="AC41" s="15" t="s">
        <v>27</v>
      </c>
      <c r="AD41" s="15" t="s">
        <v>468</v>
      </c>
      <c r="AE41" s="18">
        <v>46269</v>
      </c>
      <c r="AF41" s="15" t="s">
        <v>469</v>
      </c>
      <c r="AG41" s="18">
        <v>43978</v>
      </c>
    </row>
    <row r="42" spans="1:33" ht="24" customHeight="1" x14ac:dyDescent="0.35">
      <c r="A42" s="3">
        <v>41</v>
      </c>
      <c r="B42" s="4" t="s">
        <v>470</v>
      </c>
      <c r="C42" s="3">
        <v>2025</v>
      </c>
      <c r="D42" s="5" t="s">
        <v>66</v>
      </c>
      <c r="E42" s="6" t="s">
        <v>471</v>
      </c>
      <c r="F42" s="7" t="s">
        <v>52</v>
      </c>
      <c r="G42" s="5" t="s">
        <v>363</v>
      </c>
      <c r="H42" s="3">
        <f t="shared" si="3"/>
        <v>3</v>
      </c>
      <c r="I42" s="7" t="s">
        <v>53</v>
      </c>
      <c r="J42" s="6" t="s">
        <v>115</v>
      </c>
      <c r="K42" s="6" t="s">
        <v>472</v>
      </c>
      <c r="L42" s="8">
        <v>0</v>
      </c>
      <c r="M42" s="5" t="s">
        <v>66</v>
      </c>
      <c r="N42" s="9"/>
      <c r="O42" s="9">
        <v>45724</v>
      </c>
      <c r="P42" s="9">
        <v>45731</v>
      </c>
      <c r="Q42" s="9">
        <v>45738</v>
      </c>
      <c r="R42" s="9"/>
      <c r="S42" s="6" t="s">
        <v>473</v>
      </c>
      <c r="T42" s="9">
        <v>45751</v>
      </c>
      <c r="U42" s="9">
        <v>45751</v>
      </c>
      <c r="V42" s="6" t="s">
        <v>115</v>
      </c>
      <c r="W42" s="6" t="s">
        <v>115</v>
      </c>
      <c r="X42" s="3">
        <f t="shared" ca="1" si="4"/>
        <v>-545</v>
      </c>
      <c r="Y42" s="10" t="str">
        <f t="shared" ca="1" si="5"/>
        <v>Expired</v>
      </c>
      <c r="Z42" s="6" t="s">
        <v>115</v>
      </c>
      <c r="AA42" s="6" t="s">
        <v>474</v>
      </c>
      <c r="AB42" s="11" t="s">
        <v>475</v>
      </c>
      <c r="AC42" s="6" t="s">
        <v>27</v>
      </c>
      <c r="AD42" s="6" t="s">
        <v>476</v>
      </c>
      <c r="AE42" s="9">
        <v>46269</v>
      </c>
      <c r="AF42" s="6" t="s">
        <v>477</v>
      </c>
      <c r="AG42" s="9">
        <v>45609</v>
      </c>
    </row>
    <row r="43" spans="1:33" ht="24" customHeight="1" x14ac:dyDescent="0.35">
      <c r="A43" s="12">
        <v>42</v>
      </c>
      <c r="B43" s="13" t="s">
        <v>478</v>
      </c>
      <c r="C43" s="12">
        <v>2025</v>
      </c>
      <c r="D43" s="14" t="s">
        <v>479</v>
      </c>
      <c r="E43" s="15" t="s">
        <v>480</v>
      </c>
      <c r="F43" s="16" t="s">
        <v>52</v>
      </c>
      <c r="G43" s="14" t="s">
        <v>363</v>
      </c>
      <c r="H43" s="12">
        <f t="shared" si="3"/>
        <v>3</v>
      </c>
      <c r="I43" s="16" t="s">
        <v>53</v>
      </c>
      <c r="J43" s="15" t="s">
        <v>481</v>
      </c>
      <c r="K43" s="15" t="s">
        <v>482</v>
      </c>
      <c r="L43" s="17"/>
      <c r="M43" s="14"/>
      <c r="N43" s="18"/>
      <c r="O43" s="18">
        <v>45748</v>
      </c>
      <c r="P43" s="18">
        <v>45757</v>
      </c>
      <c r="Q43" s="18">
        <v>45762</v>
      </c>
      <c r="R43" s="18"/>
      <c r="S43" s="15" t="s">
        <v>483</v>
      </c>
      <c r="T43" s="18">
        <v>45778</v>
      </c>
      <c r="U43" s="18">
        <v>45782</v>
      </c>
      <c r="V43" s="15" t="s">
        <v>115</v>
      </c>
      <c r="W43" s="15" t="s">
        <v>115</v>
      </c>
      <c r="X43" s="12">
        <f t="shared" ca="1" si="4"/>
        <v>-521</v>
      </c>
      <c r="Y43" s="19" t="str">
        <f t="shared" ca="1" si="5"/>
        <v>Expired</v>
      </c>
      <c r="Z43" s="15" t="s">
        <v>115</v>
      </c>
      <c r="AA43" s="15" t="s">
        <v>40</v>
      </c>
      <c r="AB43" s="20" t="s">
        <v>484</v>
      </c>
      <c r="AC43" s="15" t="s">
        <v>27</v>
      </c>
      <c r="AD43" s="15" t="s">
        <v>40</v>
      </c>
      <c r="AE43" s="18">
        <v>46269</v>
      </c>
      <c r="AF43" s="15" t="s">
        <v>485</v>
      </c>
      <c r="AG43" s="18">
        <v>44732</v>
      </c>
    </row>
    <row r="44" spans="1:33" ht="36" customHeight="1" x14ac:dyDescent="0.35">
      <c r="A44" s="3">
        <v>43</v>
      </c>
      <c r="B44" s="4" t="s">
        <v>486</v>
      </c>
      <c r="C44" s="3">
        <v>2025</v>
      </c>
      <c r="D44" s="5" t="s">
        <v>487</v>
      </c>
      <c r="E44" s="6" t="s">
        <v>488</v>
      </c>
      <c r="F44" s="7" t="s">
        <v>52</v>
      </c>
      <c r="G44" s="5" t="s">
        <v>363</v>
      </c>
      <c r="H44" s="3">
        <f t="shared" si="3"/>
        <v>3</v>
      </c>
      <c r="I44" s="7" t="s">
        <v>53</v>
      </c>
      <c r="J44" s="6" t="s">
        <v>489</v>
      </c>
      <c r="K44" s="6" t="s">
        <v>112</v>
      </c>
      <c r="L44" s="8"/>
      <c r="M44" s="5"/>
      <c r="N44" s="9"/>
      <c r="O44" s="9">
        <v>45757</v>
      </c>
      <c r="P44" s="9">
        <v>45783</v>
      </c>
      <c r="Q44" s="9">
        <v>45797</v>
      </c>
      <c r="R44" s="9">
        <v>45787</v>
      </c>
      <c r="S44" s="6" t="s">
        <v>490</v>
      </c>
      <c r="T44" s="9">
        <v>45790</v>
      </c>
      <c r="U44" s="9">
        <v>45790</v>
      </c>
      <c r="V44" s="6" t="s">
        <v>464</v>
      </c>
      <c r="W44" s="6" t="s">
        <v>115</v>
      </c>
      <c r="X44" s="3">
        <f t="shared" ca="1" si="4"/>
        <v>-512</v>
      </c>
      <c r="Y44" s="10" t="str">
        <f t="shared" ca="1" si="5"/>
        <v>Expired</v>
      </c>
      <c r="Z44" s="6" t="s">
        <v>129</v>
      </c>
      <c r="AA44" s="6" t="s">
        <v>491</v>
      </c>
      <c r="AB44" s="11" t="s">
        <v>492</v>
      </c>
      <c r="AC44" s="6" t="s">
        <v>27</v>
      </c>
      <c r="AD44" s="6" t="s">
        <v>493</v>
      </c>
      <c r="AE44" s="9">
        <v>46269</v>
      </c>
      <c r="AF44" s="6" t="s">
        <v>494</v>
      </c>
      <c r="AG44" s="9">
        <v>45674</v>
      </c>
    </row>
    <row r="45" spans="1:33" ht="36" customHeight="1" x14ac:dyDescent="0.35">
      <c r="A45" s="12">
        <v>44</v>
      </c>
      <c r="B45" s="13" t="s">
        <v>495</v>
      </c>
      <c r="C45" s="12">
        <v>2025</v>
      </c>
      <c r="D45" s="14" t="s">
        <v>496</v>
      </c>
      <c r="E45" s="15" t="s">
        <v>497</v>
      </c>
      <c r="F45" s="16" t="s">
        <v>36</v>
      </c>
      <c r="G45" s="14" t="s">
        <v>363</v>
      </c>
      <c r="H45" s="12">
        <f t="shared" si="3"/>
        <v>3</v>
      </c>
      <c r="I45" s="16" t="s">
        <v>53</v>
      </c>
      <c r="J45" s="15" t="s">
        <v>452</v>
      </c>
      <c r="K45" s="15" t="s">
        <v>498</v>
      </c>
      <c r="L45" s="17">
        <v>900</v>
      </c>
      <c r="M45" s="14" t="s">
        <v>56</v>
      </c>
      <c r="N45" s="18"/>
      <c r="O45" s="18">
        <v>45758</v>
      </c>
      <c r="P45" s="18"/>
      <c r="Q45" s="18"/>
      <c r="R45" s="18"/>
      <c r="S45" s="15" t="s">
        <v>499</v>
      </c>
      <c r="T45" s="18">
        <v>45790</v>
      </c>
      <c r="U45" s="18">
        <v>45791</v>
      </c>
      <c r="V45" s="15" t="s">
        <v>500</v>
      </c>
      <c r="W45" s="15" t="s">
        <v>115</v>
      </c>
      <c r="X45" s="12">
        <f t="shared" ca="1" si="4"/>
        <v>-511</v>
      </c>
      <c r="Y45" s="19" t="str">
        <f t="shared" ca="1" si="5"/>
        <v>Expired</v>
      </c>
      <c r="Z45" s="15" t="s">
        <v>115</v>
      </c>
      <c r="AA45" s="15" t="s">
        <v>40</v>
      </c>
      <c r="AB45" s="20" t="s">
        <v>501</v>
      </c>
      <c r="AC45" s="15" t="s">
        <v>27</v>
      </c>
      <c r="AD45" s="15" t="s">
        <v>502</v>
      </c>
      <c r="AE45" s="18">
        <v>46269</v>
      </c>
      <c r="AF45" s="15" t="s">
        <v>503</v>
      </c>
      <c r="AG45" s="18">
        <v>44732</v>
      </c>
    </row>
    <row r="46" spans="1:33" ht="36" customHeight="1" x14ac:dyDescent="0.35">
      <c r="A46" s="3">
        <v>45</v>
      </c>
      <c r="B46" s="4" t="s">
        <v>504</v>
      </c>
      <c r="C46" s="3">
        <v>2025</v>
      </c>
      <c r="D46" s="5" t="s">
        <v>66</v>
      </c>
      <c r="E46" s="6" t="s">
        <v>505</v>
      </c>
      <c r="F46" s="7" t="s">
        <v>52</v>
      </c>
      <c r="G46" s="5" t="s">
        <v>363</v>
      </c>
      <c r="H46" s="3">
        <f t="shared" si="3"/>
        <v>3</v>
      </c>
      <c r="I46" s="7" t="s">
        <v>53</v>
      </c>
      <c r="J46" s="6" t="s">
        <v>115</v>
      </c>
      <c r="K46" s="6" t="s">
        <v>382</v>
      </c>
      <c r="L46" s="8">
        <v>0</v>
      </c>
      <c r="M46" s="5" t="s">
        <v>66</v>
      </c>
      <c r="N46" s="9"/>
      <c r="O46" s="9">
        <v>45761</v>
      </c>
      <c r="P46" s="9">
        <v>45782</v>
      </c>
      <c r="Q46" s="9">
        <v>45796</v>
      </c>
      <c r="R46" s="9">
        <v>45803</v>
      </c>
      <c r="S46" s="6" t="s">
        <v>506</v>
      </c>
      <c r="T46" s="9">
        <v>45820</v>
      </c>
      <c r="U46" s="9">
        <v>45820</v>
      </c>
      <c r="V46" s="6" t="s">
        <v>411</v>
      </c>
      <c r="W46" s="6" t="s">
        <v>43</v>
      </c>
      <c r="X46" s="3">
        <f t="shared" ca="1" si="4"/>
        <v>-508</v>
      </c>
      <c r="Y46" s="10" t="str">
        <f t="shared" ca="1" si="5"/>
        <v>Expired</v>
      </c>
      <c r="Z46" s="6" t="s">
        <v>115</v>
      </c>
      <c r="AA46" s="6" t="s">
        <v>40</v>
      </c>
      <c r="AB46" s="11" t="s">
        <v>507</v>
      </c>
      <c r="AC46" s="6" t="s">
        <v>27</v>
      </c>
      <c r="AD46" s="6" t="s">
        <v>508</v>
      </c>
      <c r="AE46" s="9">
        <v>46269</v>
      </c>
      <c r="AF46" s="6" t="s">
        <v>509</v>
      </c>
      <c r="AG46" s="9">
        <v>45608</v>
      </c>
    </row>
    <row r="47" spans="1:33" ht="48" customHeight="1" x14ac:dyDescent="0.35">
      <c r="A47" s="12">
        <v>46</v>
      </c>
      <c r="B47" s="13" t="s">
        <v>510</v>
      </c>
      <c r="C47" s="12">
        <v>2025</v>
      </c>
      <c r="D47" s="14" t="s">
        <v>66</v>
      </c>
      <c r="E47" s="15" t="s">
        <v>511</v>
      </c>
      <c r="F47" s="16" t="s">
        <v>36</v>
      </c>
      <c r="G47" s="14" t="s">
        <v>363</v>
      </c>
      <c r="H47" s="12">
        <f t="shared" si="3"/>
        <v>3</v>
      </c>
      <c r="I47" s="16" t="s">
        <v>110</v>
      </c>
      <c r="J47" s="15" t="s">
        <v>512</v>
      </c>
      <c r="K47" s="15" t="s">
        <v>513</v>
      </c>
      <c r="L47" s="17">
        <v>20</v>
      </c>
      <c r="M47" s="14" t="s">
        <v>162</v>
      </c>
      <c r="N47" s="18"/>
      <c r="O47" s="18">
        <v>45777</v>
      </c>
      <c r="P47" s="18"/>
      <c r="Q47" s="18">
        <v>45827</v>
      </c>
      <c r="R47" s="18"/>
      <c r="S47" s="15" t="s">
        <v>112</v>
      </c>
      <c r="T47" s="18"/>
      <c r="U47" s="18"/>
      <c r="V47" s="15" t="s">
        <v>115</v>
      </c>
      <c r="W47" s="15" t="s">
        <v>115</v>
      </c>
      <c r="X47" s="12">
        <f t="shared" ca="1" si="4"/>
        <v>-492</v>
      </c>
      <c r="Y47" s="19" t="str">
        <f t="shared" ca="1" si="5"/>
        <v>Expired</v>
      </c>
      <c r="Z47" s="15" t="s">
        <v>115</v>
      </c>
      <c r="AA47" s="15" t="s">
        <v>40</v>
      </c>
      <c r="AB47" s="20" t="s">
        <v>514</v>
      </c>
      <c r="AC47" s="15" t="s">
        <v>515</v>
      </c>
      <c r="AD47" s="15" t="s">
        <v>40</v>
      </c>
      <c r="AE47" s="18">
        <v>46269</v>
      </c>
      <c r="AF47" s="15" t="s">
        <v>516</v>
      </c>
      <c r="AG47" s="18">
        <v>44256</v>
      </c>
    </row>
    <row r="48" spans="1:33" ht="60" customHeight="1" x14ac:dyDescent="0.35">
      <c r="A48" s="3">
        <v>47</v>
      </c>
      <c r="B48" s="4" t="s">
        <v>517</v>
      </c>
      <c r="C48" s="3">
        <v>2025</v>
      </c>
      <c r="D48" s="5" t="s">
        <v>94</v>
      </c>
      <c r="E48" s="6" t="s">
        <v>518</v>
      </c>
      <c r="F48" s="7" t="s">
        <v>52</v>
      </c>
      <c r="G48" s="5" t="s">
        <v>363</v>
      </c>
      <c r="H48" s="3">
        <f t="shared" si="3"/>
        <v>3</v>
      </c>
      <c r="I48" s="7" t="s">
        <v>53</v>
      </c>
      <c r="J48" s="6" t="s">
        <v>115</v>
      </c>
      <c r="K48" s="6" t="s">
        <v>112</v>
      </c>
      <c r="L48" s="8"/>
      <c r="M48" s="5"/>
      <c r="N48" s="9"/>
      <c r="O48" s="9">
        <v>45834</v>
      </c>
      <c r="P48" s="9">
        <v>45858</v>
      </c>
      <c r="Q48" s="9">
        <v>45908</v>
      </c>
      <c r="R48" s="9"/>
      <c r="S48" s="6" t="s">
        <v>519</v>
      </c>
      <c r="T48" s="9">
        <v>45955</v>
      </c>
      <c r="U48" s="9">
        <v>45960</v>
      </c>
      <c r="V48" s="6" t="s">
        <v>520</v>
      </c>
      <c r="W48" s="6" t="s">
        <v>115</v>
      </c>
      <c r="X48" s="3">
        <f t="shared" ca="1" si="4"/>
        <v>-435</v>
      </c>
      <c r="Y48" s="10" t="str">
        <f t="shared" ca="1" si="5"/>
        <v>Expired</v>
      </c>
      <c r="Z48" s="6" t="s">
        <v>115</v>
      </c>
      <c r="AA48" s="6" t="s">
        <v>40</v>
      </c>
      <c r="AB48" s="11" t="s">
        <v>521</v>
      </c>
      <c r="AC48" s="6" t="s">
        <v>27</v>
      </c>
      <c r="AD48" s="6" t="s">
        <v>40</v>
      </c>
      <c r="AE48" s="9">
        <v>46269</v>
      </c>
      <c r="AF48" s="6" t="s">
        <v>522</v>
      </c>
      <c r="AG48" s="9">
        <v>45723</v>
      </c>
    </row>
    <row r="49" spans="1:33" ht="36" customHeight="1" x14ac:dyDescent="0.35">
      <c r="A49" s="12">
        <v>48</v>
      </c>
      <c r="B49" s="13" t="s">
        <v>523</v>
      </c>
      <c r="C49" s="12">
        <v>2025</v>
      </c>
      <c r="D49" s="14" t="s">
        <v>66</v>
      </c>
      <c r="E49" s="15" t="s">
        <v>524</v>
      </c>
      <c r="F49" s="16" t="s">
        <v>52</v>
      </c>
      <c r="G49" s="14" t="s">
        <v>363</v>
      </c>
      <c r="H49" s="12">
        <f t="shared" si="3"/>
        <v>3</v>
      </c>
      <c r="I49" s="16" t="s">
        <v>53</v>
      </c>
      <c r="J49" s="15" t="s">
        <v>452</v>
      </c>
      <c r="K49" s="15" t="s">
        <v>453</v>
      </c>
      <c r="L49" s="17">
        <v>0</v>
      </c>
      <c r="M49" s="14" t="s">
        <v>66</v>
      </c>
      <c r="N49" s="18"/>
      <c r="O49" s="18">
        <v>45858</v>
      </c>
      <c r="P49" s="18"/>
      <c r="Q49" s="18"/>
      <c r="R49" s="18"/>
      <c r="S49" s="15" t="s">
        <v>525</v>
      </c>
      <c r="T49" s="18">
        <v>45869</v>
      </c>
      <c r="U49" s="18">
        <v>45869</v>
      </c>
      <c r="V49" s="15" t="s">
        <v>526</v>
      </c>
      <c r="W49" s="15" t="s">
        <v>115</v>
      </c>
      <c r="X49" s="12">
        <f t="shared" ca="1" si="4"/>
        <v>-411</v>
      </c>
      <c r="Y49" s="19" t="str">
        <f t="shared" ca="1" si="5"/>
        <v>Expired</v>
      </c>
      <c r="Z49" s="15" t="s">
        <v>115</v>
      </c>
      <c r="AA49" s="15" t="s">
        <v>40</v>
      </c>
      <c r="AB49" s="20" t="s">
        <v>527</v>
      </c>
      <c r="AC49" s="15" t="s">
        <v>27</v>
      </c>
      <c r="AD49" s="15" t="s">
        <v>40</v>
      </c>
      <c r="AE49" s="18">
        <v>46269</v>
      </c>
      <c r="AF49" s="15" t="s">
        <v>528</v>
      </c>
      <c r="AG49" s="18">
        <v>45608</v>
      </c>
    </row>
    <row r="50" spans="1:33" ht="36" customHeight="1" x14ac:dyDescent="0.35">
      <c r="A50" s="3">
        <v>49</v>
      </c>
      <c r="B50" s="4" t="s">
        <v>529</v>
      </c>
      <c r="C50" s="3">
        <v>2025</v>
      </c>
      <c r="D50" s="5" t="s">
        <v>66</v>
      </c>
      <c r="E50" s="6" t="s">
        <v>530</v>
      </c>
      <c r="F50" s="7" t="s">
        <v>52</v>
      </c>
      <c r="G50" s="5" t="s">
        <v>363</v>
      </c>
      <c r="H50" s="3">
        <f t="shared" si="3"/>
        <v>3</v>
      </c>
      <c r="I50" s="7" t="s">
        <v>53</v>
      </c>
      <c r="J50" s="6" t="s">
        <v>531</v>
      </c>
      <c r="K50" s="6" t="s">
        <v>112</v>
      </c>
      <c r="L50" s="8"/>
      <c r="M50" s="5"/>
      <c r="N50" s="9"/>
      <c r="O50" s="9">
        <v>45860</v>
      </c>
      <c r="P50" s="9">
        <v>45910</v>
      </c>
      <c r="Q50" s="9">
        <v>45931</v>
      </c>
      <c r="R50" s="9"/>
      <c r="S50" s="6" t="s">
        <v>532</v>
      </c>
      <c r="T50" s="9">
        <v>45956</v>
      </c>
      <c r="U50" s="9">
        <v>45956</v>
      </c>
      <c r="V50" s="6" t="s">
        <v>520</v>
      </c>
      <c r="W50" s="6" t="s">
        <v>115</v>
      </c>
      <c r="X50" s="3">
        <f t="shared" ca="1" si="4"/>
        <v>-409</v>
      </c>
      <c r="Y50" s="10" t="str">
        <f t="shared" ca="1" si="5"/>
        <v>Expired</v>
      </c>
      <c r="Z50" s="6" t="s">
        <v>115</v>
      </c>
      <c r="AA50" s="6" t="s">
        <v>533</v>
      </c>
      <c r="AB50" s="11" t="s">
        <v>534</v>
      </c>
      <c r="AC50" s="6" t="s">
        <v>27</v>
      </c>
      <c r="AD50" s="6" t="s">
        <v>40</v>
      </c>
      <c r="AE50" s="9">
        <v>46269</v>
      </c>
      <c r="AF50" s="6" t="s">
        <v>535</v>
      </c>
      <c r="AG50" s="9">
        <v>45723</v>
      </c>
    </row>
    <row r="51" spans="1:33" ht="36" customHeight="1" x14ac:dyDescent="0.35">
      <c r="A51" s="12">
        <v>50</v>
      </c>
      <c r="B51" s="13" t="s">
        <v>536</v>
      </c>
      <c r="C51" s="12">
        <v>2025</v>
      </c>
      <c r="D51" s="14" t="s">
        <v>80</v>
      </c>
      <c r="E51" s="15" t="s">
        <v>537</v>
      </c>
      <c r="F51" s="16" t="s">
        <v>52</v>
      </c>
      <c r="G51" s="14" t="s">
        <v>363</v>
      </c>
      <c r="H51" s="12">
        <f t="shared" si="3"/>
        <v>3</v>
      </c>
      <c r="I51" s="16" t="s">
        <v>53</v>
      </c>
      <c r="J51" s="15" t="s">
        <v>538</v>
      </c>
      <c r="K51" s="15" t="s">
        <v>382</v>
      </c>
      <c r="L51" s="17">
        <v>0</v>
      </c>
      <c r="M51" s="14" t="s">
        <v>66</v>
      </c>
      <c r="N51" s="18"/>
      <c r="O51" s="18">
        <v>45869</v>
      </c>
      <c r="P51" s="18">
        <v>45899</v>
      </c>
      <c r="Q51" s="18">
        <v>45914</v>
      </c>
      <c r="R51" s="18">
        <v>45918</v>
      </c>
      <c r="S51" s="15" t="s">
        <v>539</v>
      </c>
      <c r="T51" s="18">
        <v>45924</v>
      </c>
      <c r="U51" s="18">
        <v>45924</v>
      </c>
      <c r="V51" s="15" t="s">
        <v>411</v>
      </c>
      <c r="W51" s="15" t="s">
        <v>115</v>
      </c>
      <c r="X51" s="12">
        <f t="shared" ca="1" si="4"/>
        <v>-400</v>
      </c>
      <c r="Y51" s="19" t="str">
        <f t="shared" ca="1" si="5"/>
        <v>Expired</v>
      </c>
      <c r="Z51" s="15" t="s">
        <v>540</v>
      </c>
      <c r="AA51" s="15" t="s">
        <v>541</v>
      </c>
      <c r="AB51" s="20" t="s">
        <v>542</v>
      </c>
      <c r="AC51" s="15" t="s">
        <v>27</v>
      </c>
      <c r="AD51" s="15" t="s">
        <v>543</v>
      </c>
      <c r="AE51" s="18">
        <v>46269</v>
      </c>
      <c r="AF51" s="15" t="s">
        <v>544</v>
      </c>
      <c r="AG51" s="18">
        <v>45609</v>
      </c>
    </row>
    <row r="52" spans="1:33" ht="36" customHeight="1" x14ac:dyDescent="0.35">
      <c r="A52" s="3">
        <v>51</v>
      </c>
      <c r="B52" s="4" t="s">
        <v>545</v>
      </c>
      <c r="C52" s="3">
        <v>2025</v>
      </c>
      <c r="D52" s="5" t="s">
        <v>80</v>
      </c>
      <c r="E52" s="6" t="s">
        <v>546</v>
      </c>
      <c r="F52" s="7" t="s">
        <v>52</v>
      </c>
      <c r="G52" s="5" t="s">
        <v>363</v>
      </c>
      <c r="H52" s="3">
        <f t="shared" si="3"/>
        <v>3</v>
      </c>
      <c r="I52" s="7" t="s">
        <v>53</v>
      </c>
      <c r="J52" s="6" t="s">
        <v>547</v>
      </c>
      <c r="K52" s="6" t="s">
        <v>382</v>
      </c>
      <c r="L52" s="8">
        <v>0</v>
      </c>
      <c r="M52" s="5" t="s">
        <v>66</v>
      </c>
      <c r="N52" s="9"/>
      <c r="O52" s="9">
        <v>45901</v>
      </c>
      <c r="P52" s="9">
        <v>45944</v>
      </c>
      <c r="Q52" s="9">
        <v>45951</v>
      </c>
      <c r="R52" s="9"/>
      <c r="S52" s="6" t="s">
        <v>548</v>
      </c>
      <c r="T52" s="9">
        <v>45960</v>
      </c>
      <c r="U52" s="9">
        <v>45960</v>
      </c>
      <c r="V52" s="6" t="s">
        <v>549</v>
      </c>
      <c r="W52" s="6" t="s">
        <v>115</v>
      </c>
      <c r="X52" s="3">
        <f t="shared" ca="1" si="4"/>
        <v>-368</v>
      </c>
      <c r="Y52" s="10" t="str">
        <f t="shared" ca="1" si="5"/>
        <v>Expired</v>
      </c>
      <c r="Z52" s="6" t="s">
        <v>115</v>
      </c>
      <c r="AA52" s="6" t="s">
        <v>40</v>
      </c>
      <c r="AB52" s="11" t="s">
        <v>550</v>
      </c>
      <c r="AC52" s="6" t="s">
        <v>27</v>
      </c>
      <c r="AD52" s="6" t="s">
        <v>551</v>
      </c>
      <c r="AE52" s="9">
        <v>46269</v>
      </c>
      <c r="AF52" s="6" t="s">
        <v>552</v>
      </c>
      <c r="AG52" s="9">
        <v>45609</v>
      </c>
    </row>
    <row r="53" spans="1:33" ht="36" customHeight="1" x14ac:dyDescent="0.35">
      <c r="A53" s="12">
        <v>52</v>
      </c>
      <c r="B53" s="13" t="s">
        <v>553</v>
      </c>
      <c r="C53" s="12">
        <v>2025</v>
      </c>
      <c r="D53" s="14" t="s">
        <v>66</v>
      </c>
      <c r="E53" s="15" t="s">
        <v>554</v>
      </c>
      <c r="F53" s="16" t="s">
        <v>52</v>
      </c>
      <c r="G53" s="14" t="s">
        <v>363</v>
      </c>
      <c r="H53" s="12">
        <f t="shared" si="3"/>
        <v>3</v>
      </c>
      <c r="I53" s="16" t="s">
        <v>53</v>
      </c>
      <c r="J53" s="15" t="s">
        <v>555</v>
      </c>
      <c r="K53" s="15" t="s">
        <v>382</v>
      </c>
      <c r="L53" s="17">
        <v>0</v>
      </c>
      <c r="M53" s="14" t="s">
        <v>66</v>
      </c>
      <c r="N53" s="18"/>
      <c r="O53" s="18">
        <v>45910</v>
      </c>
      <c r="P53" s="18">
        <v>45915</v>
      </c>
      <c r="Q53" s="18"/>
      <c r="R53" s="18"/>
      <c r="S53" s="15" t="s">
        <v>556</v>
      </c>
      <c r="T53" s="18">
        <v>45926</v>
      </c>
      <c r="U53" s="18">
        <v>45927</v>
      </c>
      <c r="V53" s="15" t="s">
        <v>356</v>
      </c>
      <c r="W53" s="15" t="s">
        <v>557</v>
      </c>
      <c r="X53" s="12">
        <f t="shared" ca="1" si="4"/>
        <v>-359</v>
      </c>
      <c r="Y53" s="19" t="str">
        <f t="shared" ca="1" si="5"/>
        <v>Expired</v>
      </c>
      <c r="Z53" s="15" t="s">
        <v>558</v>
      </c>
      <c r="AA53" s="15" t="s">
        <v>559</v>
      </c>
      <c r="AB53" s="20" t="s">
        <v>560</v>
      </c>
      <c r="AC53" s="15" t="s">
        <v>561</v>
      </c>
      <c r="AD53" s="15" t="s">
        <v>562</v>
      </c>
      <c r="AE53" s="18">
        <v>46269</v>
      </c>
      <c r="AF53" s="15" t="s">
        <v>563</v>
      </c>
      <c r="AG53" s="18">
        <v>45656</v>
      </c>
    </row>
    <row r="54" spans="1:33" ht="36" customHeight="1" x14ac:dyDescent="0.35">
      <c r="A54" s="3">
        <v>53</v>
      </c>
      <c r="B54" s="4" t="s">
        <v>564</v>
      </c>
      <c r="C54" s="3">
        <v>2025</v>
      </c>
      <c r="D54" s="5" t="s">
        <v>565</v>
      </c>
      <c r="E54" s="6" t="s">
        <v>566</v>
      </c>
      <c r="F54" s="7" t="s">
        <v>109</v>
      </c>
      <c r="G54" s="5" t="s">
        <v>363</v>
      </c>
      <c r="H54" s="3">
        <f t="shared" si="3"/>
        <v>3</v>
      </c>
      <c r="I54" s="7" t="s">
        <v>53</v>
      </c>
      <c r="J54" s="6" t="s">
        <v>115</v>
      </c>
      <c r="K54" s="6" t="s">
        <v>382</v>
      </c>
      <c r="L54" s="8">
        <v>0</v>
      </c>
      <c r="M54" s="5" t="s">
        <v>66</v>
      </c>
      <c r="N54" s="9"/>
      <c r="O54" s="9">
        <v>45910</v>
      </c>
      <c r="P54" s="9">
        <v>45915</v>
      </c>
      <c r="Q54" s="9"/>
      <c r="R54" s="9"/>
      <c r="S54" s="6" t="s">
        <v>567</v>
      </c>
      <c r="T54" s="9">
        <v>45925</v>
      </c>
      <c r="U54" s="9">
        <v>45927</v>
      </c>
      <c r="V54" s="6" t="s">
        <v>356</v>
      </c>
      <c r="W54" s="6" t="s">
        <v>557</v>
      </c>
      <c r="X54" s="3">
        <f t="shared" ca="1" si="4"/>
        <v>-359</v>
      </c>
      <c r="Y54" s="10" t="str">
        <f t="shared" ca="1" si="5"/>
        <v>Expired</v>
      </c>
      <c r="Z54" s="6" t="s">
        <v>115</v>
      </c>
      <c r="AA54" s="6" t="s">
        <v>568</v>
      </c>
      <c r="AB54" s="11" t="s">
        <v>569</v>
      </c>
      <c r="AC54" s="6" t="s">
        <v>27</v>
      </c>
      <c r="AD54" s="6" t="s">
        <v>562</v>
      </c>
      <c r="AE54" s="9">
        <v>46269</v>
      </c>
      <c r="AF54" s="6" t="s">
        <v>570</v>
      </c>
      <c r="AG54" s="9">
        <v>45666</v>
      </c>
    </row>
    <row r="55" spans="1:33" ht="48" customHeight="1" x14ac:dyDescent="0.35">
      <c r="A55" s="12">
        <v>54</v>
      </c>
      <c r="B55" s="13" t="s">
        <v>571</v>
      </c>
      <c r="C55" s="12">
        <v>2025</v>
      </c>
      <c r="D55" s="14" t="s">
        <v>80</v>
      </c>
      <c r="E55" s="15" t="s">
        <v>572</v>
      </c>
      <c r="F55" s="16" t="s">
        <v>573</v>
      </c>
      <c r="G55" s="14" t="s">
        <v>363</v>
      </c>
      <c r="H55" s="12">
        <f t="shared" si="3"/>
        <v>3</v>
      </c>
      <c r="I55" s="16" t="s">
        <v>38</v>
      </c>
      <c r="J55" s="15" t="s">
        <v>115</v>
      </c>
      <c r="K55" s="15" t="s">
        <v>382</v>
      </c>
      <c r="L55" s="17">
        <v>0</v>
      </c>
      <c r="M55" s="14" t="s">
        <v>66</v>
      </c>
      <c r="N55" s="18"/>
      <c r="O55" s="18">
        <v>45915</v>
      </c>
      <c r="P55" s="18">
        <v>45930</v>
      </c>
      <c r="Q55" s="18"/>
      <c r="R55" s="18"/>
      <c r="S55" s="15" t="s">
        <v>574</v>
      </c>
      <c r="T55" s="18">
        <v>45953</v>
      </c>
      <c r="U55" s="18">
        <v>45954</v>
      </c>
      <c r="V55" s="15" t="s">
        <v>575</v>
      </c>
      <c r="W55" s="15" t="s">
        <v>430</v>
      </c>
      <c r="X55" s="12">
        <f t="shared" ca="1" si="4"/>
        <v>-354</v>
      </c>
      <c r="Y55" s="19" t="str">
        <f t="shared" ca="1" si="5"/>
        <v>Expired</v>
      </c>
      <c r="Z55" s="15" t="s">
        <v>576</v>
      </c>
      <c r="AA55" s="15" t="s">
        <v>577</v>
      </c>
      <c r="AB55" s="20" t="s">
        <v>578</v>
      </c>
      <c r="AC55" s="15" t="s">
        <v>579</v>
      </c>
      <c r="AD55" s="15" t="s">
        <v>580</v>
      </c>
      <c r="AE55" s="18">
        <v>46269</v>
      </c>
      <c r="AF55" s="15" t="s">
        <v>581</v>
      </c>
      <c r="AG55" s="18">
        <v>45889</v>
      </c>
    </row>
    <row r="56" spans="1:33" ht="60" customHeight="1" x14ac:dyDescent="0.35">
      <c r="A56" s="3">
        <v>55</v>
      </c>
      <c r="B56" s="4" t="s">
        <v>582</v>
      </c>
      <c r="C56" s="3">
        <v>2025</v>
      </c>
      <c r="D56" s="5" t="s">
        <v>487</v>
      </c>
      <c r="E56" s="6" t="s">
        <v>583</v>
      </c>
      <c r="F56" s="7" t="s">
        <v>109</v>
      </c>
      <c r="G56" s="5" t="s">
        <v>363</v>
      </c>
      <c r="H56" s="3">
        <f t="shared" si="3"/>
        <v>3</v>
      </c>
      <c r="I56" s="7" t="s">
        <v>53</v>
      </c>
      <c r="J56" s="6" t="s">
        <v>115</v>
      </c>
      <c r="K56" s="6" t="s">
        <v>382</v>
      </c>
      <c r="L56" s="8">
        <v>0</v>
      </c>
      <c r="M56" s="5" t="s">
        <v>66</v>
      </c>
      <c r="N56" s="9"/>
      <c r="O56" s="9">
        <v>45940</v>
      </c>
      <c r="P56" s="9">
        <v>45971</v>
      </c>
      <c r="Q56" s="9">
        <v>45978</v>
      </c>
      <c r="R56" s="9"/>
      <c r="S56" s="6" t="s">
        <v>584</v>
      </c>
      <c r="T56" s="9">
        <v>45980</v>
      </c>
      <c r="U56" s="9">
        <v>45981</v>
      </c>
      <c r="V56" s="6" t="s">
        <v>585</v>
      </c>
      <c r="W56" s="6" t="s">
        <v>115</v>
      </c>
      <c r="X56" s="3">
        <f t="shared" ca="1" si="4"/>
        <v>-329</v>
      </c>
      <c r="Y56" s="10" t="str">
        <f t="shared" ca="1" si="5"/>
        <v>Expired</v>
      </c>
      <c r="Z56" s="6" t="s">
        <v>115</v>
      </c>
      <c r="AA56" s="6" t="s">
        <v>586</v>
      </c>
      <c r="AB56" s="11" t="s">
        <v>587</v>
      </c>
      <c r="AC56" s="6" t="s">
        <v>132</v>
      </c>
      <c r="AD56" s="6" t="s">
        <v>40</v>
      </c>
      <c r="AE56" s="9">
        <v>46269</v>
      </c>
      <c r="AF56" s="6" t="s">
        <v>588</v>
      </c>
      <c r="AG56" s="9">
        <v>44402</v>
      </c>
    </row>
    <row r="57" spans="1:33" ht="36" customHeight="1" x14ac:dyDescent="0.35">
      <c r="A57" s="12">
        <v>56</v>
      </c>
      <c r="B57" s="13" t="s">
        <v>589</v>
      </c>
      <c r="C57" s="12">
        <v>2025</v>
      </c>
      <c r="D57" s="14" t="s">
        <v>487</v>
      </c>
      <c r="E57" s="15" t="s">
        <v>590</v>
      </c>
      <c r="F57" s="16" t="s">
        <v>109</v>
      </c>
      <c r="G57" s="14" t="s">
        <v>363</v>
      </c>
      <c r="H57" s="12">
        <f t="shared" si="3"/>
        <v>3</v>
      </c>
      <c r="I57" s="16" t="s">
        <v>53</v>
      </c>
      <c r="J57" s="15" t="s">
        <v>115</v>
      </c>
      <c r="K57" s="15" t="s">
        <v>112</v>
      </c>
      <c r="L57" s="17"/>
      <c r="M57" s="14"/>
      <c r="N57" s="18"/>
      <c r="O57" s="18">
        <v>45942</v>
      </c>
      <c r="P57" s="18">
        <v>45974</v>
      </c>
      <c r="Q57" s="18">
        <v>45988</v>
      </c>
      <c r="R57" s="18">
        <v>45979</v>
      </c>
      <c r="S57" s="15" t="s">
        <v>591</v>
      </c>
      <c r="T57" s="18">
        <v>45982</v>
      </c>
      <c r="U57" s="18">
        <v>45982</v>
      </c>
      <c r="V57" s="15" t="s">
        <v>464</v>
      </c>
      <c r="W57" s="15" t="s">
        <v>115</v>
      </c>
      <c r="X57" s="12">
        <f t="shared" ca="1" si="4"/>
        <v>-327</v>
      </c>
      <c r="Y57" s="19" t="str">
        <f t="shared" ca="1" si="5"/>
        <v>Expired</v>
      </c>
      <c r="Z57" s="15" t="s">
        <v>129</v>
      </c>
      <c r="AA57" s="15" t="s">
        <v>592</v>
      </c>
      <c r="AB57" s="20" t="s">
        <v>593</v>
      </c>
      <c r="AC57" s="15" t="s">
        <v>27</v>
      </c>
      <c r="AD57" s="15" t="s">
        <v>493</v>
      </c>
      <c r="AE57" s="18">
        <v>46269</v>
      </c>
      <c r="AF57" s="15" t="s">
        <v>594</v>
      </c>
      <c r="AG57" s="18">
        <v>44402</v>
      </c>
    </row>
    <row r="58" spans="1:33" ht="36" customHeight="1" x14ac:dyDescent="0.35">
      <c r="A58" s="3">
        <v>57</v>
      </c>
      <c r="B58" s="4" t="s">
        <v>595</v>
      </c>
      <c r="C58" s="3">
        <v>2025</v>
      </c>
      <c r="D58" s="5" t="s">
        <v>596</v>
      </c>
      <c r="E58" s="6" t="s">
        <v>597</v>
      </c>
      <c r="F58" s="7" t="s">
        <v>109</v>
      </c>
      <c r="G58" s="5" t="s">
        <v>363</v>
      </c>
      <c r="H58" s="3">
        <f t="shared" si="3"/>
        <v>3</v>
      </c>
      <c r="I58" s="7" t="s">
        <v>53</v>
      </c>
      <c r="J58" s="6" t="s">
        <v>598</v>
      </c>
      <c r="K58" s="6" t="s">
        <v>599</v>
      </c>
      <c r="L58" s="8">
        <v>0</v>
      </c>
      <c r="M58" s="5" t="s">
        <v>66</v>
      </c>
      <c r="N58" s="9"/>
      <c r="O58" s="9">
        <v>45956</v>
      </c>
      <c r="P58" s="9">
        <v>45985</v>
      </c>
      <c r="Q58" s="9">
        <v>45992</v>
      </c>
      <c r="R58" s="9"/>
      <c r="S58" s="6" t="s">
        <v>600</v>
      </c>
      <c r="T58" s="9">
        <v>45996</v>
      </c>
      <c r="U58" s="9">
        <v>45996</v>
      </c>
      <c r="V58" s="6" t="s">
        <v>601</v>
      </c>
      <c r="W58" s="6" t="s">
        <v>115</v>
      </c>
      <c r="X58" s="3">
        <f t="shared" ca="1" si="4"/>
        <v>-313</v>
      </c>
      <c r="Y58" s="10" t="str">
        <f t="shared" ca="1" si="5"/>
        <v>Expired</v>
      </c>
      <c r="Z58" s="6" t="s">
        <v>115</v>
      </c>
      <c r="AA58" s="6" t="s">
        <v>602</v>
      </c>
      <c r="AB58" s="11" t="s">
        <v>603</v>
      </c>
      <c r="AC58" s="6" t="s">
        <v>27</v>
      </c>
      <c r="AD58" s="6" t="s">
        <v>604</v>
      </c>
      <c r="AE58" s="9">
        <v>46269</v>
      </c>
      <c r="AF58" s="6" t="s">
        <v>605</v>
      </c>
      <c r="AG58" s="9">
        <v>45548</v>
      </c>
    </row>
    <row r="59" spans="1:33" ht="36" customHeight="1" x14ac:dyDescent="0.35">
      <c r="A59" s="12">
        <v>58</v>
      </c>
      <c r="B59" s="13" t="s">
        <v>606</v>
      </c>
      <c r="C59" s="12">
        <v>2026</v>
      </c>
      <c r="D59" s="14" t="s">
        <v>607</v>
      </c>
      <c r="E59" s="15" t="s">
        <v>608</v>
      </c>
      <c r="F59" s="16" t="s">
        <v>36</v>
      </c>
      <c r="G59" s="14" t="s">
        <v>363</v>
      </c>
      <c r="H59" s="12">
        <f t="shared" si="3"/>
        <v>3</v>
      </c>
      <c r="I59" s="16" t="s">
        <v>147</v>
      </c>
      <c r="J59" s="15" t="s">
        <v>609</v>
      </c>
      <c r="K59" s="15" t="s">
        <v>610</v>
      </c>
      <c r="L59" s="17"/>
      <c r="M59" s="14"/>
      <c r="N59" s="18"/>
      <c r="O59" s="18">
        <v>45991</v>
      </c>
      <c r="P59" s="18">
        <v>46103</v>
      </c>
      <c r="Q59" s="18"/>
      <c r="R59" s="18"/>
      <c r="S59" s="15" t="s">
        <v>611</v>
      </c>
      <c r="T59" s="18">
        <v>46133</v>
      </c>
      <c r="U59" s="18">
        <v>46136</v>
      </c>
      <c r="V59" s="15" t="s">
        <v>612</v>
      </c>
      <c r="W59" s="15" t="s">
        <v>115</v>
      </c>
      <c r="X59" s="12">
        <f t="shared" ca="1" si="4"/>
        <v>-278</v>
      </c>
      <c r="Y59" s="19" t="str">
        <f t="shared" ca="1" si="5"/>
        <v>Expired</v>
      </c>
      <c r="Z59" s="15" t="s">
        <v>613</v>
      </c>
      <c r="AA59" s="15" t="s">
        <v>40</v>
      </c>
      <c r="AB59" s="20" t="s">
        <v>614</v>
      </c>
      <c r="AC59" s="15" t="s">
        <v>27</v>
      </c>
      <c r="AD59" s="15" t="s">
        <v>40</v>
      </c>
      <c r="AE59" s="18">
        <v>46269</v>
      </c>
      <c r="AF59" s="15" t="s">
        <v>615</v>
      </c>
      <c r="AG59" s="18">
        <v>44730</v>
      </c>
    </row>
    <row r="60" spans="1:33" ht="36" customHeight="1" x14ac:dyDescent="0.35">
      <c r="A60" s="3">
        <v>59</v>
      </c>
      <c r="B60" s="4" t="s">
        <v>616</v>
      </c>
      <c r="C60" s="3">
        <v>2026</v>
      </c>
      <c r="D60" s="5" t="s">
        <v>617</v>
      </c>
      <c r="E60" s="6" t="s">
        <v>618</v>
      </c>
      <c r="F60" s="7" t="s">
        <v>36</v>
      </c>
      <c r="G60" s="5" t="s">
        <v>363</v>
      </c>
      <c r="H60" s="3">
        <f t="shared" si="3"/>
        <v>3</v>
      </c>
      <c r="I60" s="7" t="s">
        <v>147</v>
      </c>
      <c r="J60" s="6" t="s">
        <v>609</v>
      </c>
      <c r="K60" s="6" t="s">
        <v>619</v>
      </c>
      <c r="L60" s="8"/>
      <c r="M60" s="5"/>
      <c r="N60" s="9"/>
      <c r="O60" s="9">
        <v>45991</v>
      </c>
      <c r="P60" s="9">
        <v>46034</v>
      </c>
      <c r="Q60" s="9">
        <v>46036</v>
      </c>
      <c r="R60" s="9">
        <v>46043</v>
      </c>
      <c r="S60" s="6" t="s">
        <v>620</v>
      </c>
      <c r="T60" s="9">
        <v>46070</v>
      </c>
      <c r="U60" s="9">
        <v>46074</v>
      </c>
      <c r="V60" s="6" t="s">
        <v>621</v>
      </c>
      <c r="W60" s="6" t="s">
        <v>86</v>
      </c>
      <c r="X60" s="3">
        <f t="shared" ca="1" si="4"/>
        <v>-278</v>
      </c>
      <c r="Y60" s="10" t="str">
        <f t="shared" ca="1" si="5"/>
        <v>Expired</v>
      </c>
      <c r="Z60" s="6" t="s">
        <v>115</v>
      </c>
      <c r="AA60" s="6" t="s">
        <v>40</v>
      </c>
      <c r="AB60" s="11" t="s">
        <v>622</v>
      </c>
      <c r="AC60" s="6" t="s">
        <v>27</v>
      </c>
      <c r="AD60" s="6" t="s">
        <v>40</v>
      </c>
      <c r="AE60" s="9">
        <v>46269</v>
      </c>
      <c r="AF60" s="6" t="s">
        <v>623</v>
      </c>
      <c r="AG60" s="9">
        <v>43964</v>
      </c>
    </row>
    <row r="61" spans="1:33" ht="60" customHeight="1" x14ac:dyDescent="0.35">
      <c r="A61" s="12">
        <v>60</v>
      </c>
      <c r="B61" s="13" t="s">
        <v>624</v>
      </c>
      <c r="C61" s="12">
        <v>2026</v>
      </c>
      <c r="D61" s="14" t="s">
        <v>66</v>
      </c>
      <c r="E61" s="15" t="s">
        <v>625</v>
      </c>
      <c r="F61" s="16" t="s">
        <v>36</v>
      </c>
      <c r="G61" s="14" t="s">
        <v>363</v>
      </c>
      <c r="H61" s="12">
        <f t="shared" si="3"/>
        <v>3</v>
      </c>
      <c r="I61" s="16" t="s">
        <v>147</v>
      </c>
      <c r="J61" s="15" t="s">
        <v>330</v>
      </c>
      <c r="K61" s="15" t="s">
        <v>626</v>
      </c>
      <c r="L61" s="17">
        <v>145</v>
      </c>
      <c r="M61" s="14" t="s">
        <v>162</v>
      </c>
      <c r="N61" s="18"/>
      <c r="O61" s="18">
        <v>46006</v>
      </c>
      <c r="P61" s="18">
        <v>46082</v>
      </c>
      <c r="Q61" s="18">
        <v>46068</v>
      </c>
      <c r="R61" s="18">
        <v>46086</v>
      </c>
      <c r="S61" s="15" t="s">
        <v>627</v>
      </c>
      <c r="T61" s="18">
        <v>46139</v>
      </c>
      <c r="U61" s="18">
        <v>46142</v>
      </c>
      <c r="V61" s="15" t="s">
        <v>612</v>
      </c>
      <c r="W61" s="15" t="s">
        <v>115</v>
      </c>
      <c r="X61" s="12">
        <f t="shared" ca="1" si="4"/>
        <v>-263</v>
      </c>
      <c r="Y61" s="19" t="str">
        <f t="shared" ca="1" si="5"/>
        <v>Expired</v>
      </c>
      <c r="Z61" s="15" t="s">
        <v>628</v>
      </c>
      <c r="AA61" s="15" t="s">
        <v>629</v>
      </c>
      <c r="AB61" s="20" t="s">
        <v>630</v>
      </c>
      <c r="AC61" s="15" t="s">
        <v>27</v>
      </c>
      <c r="AD61" s="15" t="s">
        <v>40</v>
      </c>
      <c r="AE61" s="18">
        <v>46269</v>
      </c>
      <c r="AF61" s="15" t="s">
        <v>631</v>
      </c>
      <c r="AG61" s="18">
        <v>44730</v>
      </c>
    </row>
    <row r="62" spans="1:33" ht="48" customHeight="1" x14ac:dyDescent="0.35">
      <c r="A62" s="3">
        <v>61</v>
      </c>
      <c r="B62" s="4" t="s">
        <v>632</v>
      </c>
      <c r="C62" s="3">
        <v>2026</v>
      </c>
      <c r="D62" s="5" t="s">
        <v>633</v>
      </c>
      <c r="E62" s="6" t="s">
        <v>634</v>
      </c>
      <c r="F62" s="7" t="s">
        <v>36</v>
      </c>
      <c r="G62" s="5" t="s">
        <v>363</v>
      </c>
      <c r="H62" s="3">
        <f t="shared" si="3"/>
        <v>3</v>
      </c>
      <c r="I62" s="7" t="s">
        <v>460</v>
      </c>
      <c r="J62" s="6" t="s">
        <v>635</v>
      </c>
      <c r="K62" s="6" t="s">
        <v>636</v>
      </c>
      <c r="L62" s="8">
        <v>0</v>
      </c>
      <c r="M62" s="5" t="s">
        <v>66</v>
      </c>
      <c r="N62" s="9"/>
      <c r="O62" s="9">
        <v>46032</v>
      </c>
      <c r="P62" s="9">
        <v>46102</v>
      </c>
      <c r="Q62" s="9">
        <v>46123</v>
      </c>
      <c r="R62" s="9">
        <v>46143</v>
      </c>
      <c r="S62" s="6" t="s">
        <v>637</v>
      </c>
      <c r="T62" s="9">
        <v>46155</v>
      </c>
      <c r="U62" s="9">
        <v>46157</v>
      </c>
      <c r="V62" s="6" t="s">
        <v>464</v>
      </c>
      <c r="W62" s="6" t="s">
        <v>638</v>
      </c>
      <c r="X62" s="3">
        <f t="shared" ca="1" si="4"/>
        <v>-237</v>
      </c>
      <c r="Y62" s="10" t="str">
        <f t="shared" ca="1" si="5"/>
        <v>Expired</v>
      </c>
      <c r="Z62" s="6" t="s">
        <v>639</v>
      </c>
      <c r="AA62" s="6" t="s">
        <v>640</v>
      </c>
      <c r="AB62" s="11" t="s">
        <v>641</v>
      </c>
      <c r="AC62" s="6" t="s">
        <v>27</v>
      </c>
      <c r="AD62" s="6" t="s">
        <v>642</v>
      </c>
      <c r="AE62" s="9">
        <v>46269</v>
      </c>
      <c r="AF62" s="6" t="s">
        <v>643</v>
      </c>
      <c r="AG62" s="9">
        <v>44730</v>
      </c>
    </row>
    <row r="63" spans="1:33" ht="48" customHeight="1" x14ac:dyDescent="0.35">
      <c r="A63" s="12">
        <v>62</v>
      </c>
      <c r="B63" s="13" t="s">
        <v>644</v>
      </c>
      <c r="C63" s="12">
        <v>2026</v>
      </c>
      <c r="D63" s="14" t="s">
        <v>301</v>
      </c>
      <c r="E63" s="15" t="s">
        <v>645</v>
      </c>
      <c r="F63" s="16" t="s">
        <v>52</v>
      </c>
      <c r="G63" s="14" t="s">
        <v>363</v>
      </c>
      <c r="H63" s="12">
        <f t="shared" si="3"/>
        <v>3</v>
      </c>
      <c r="I63" s="16" t="s">
        <v>53</v>
      </c>
      <c r="J63" s="15" t="s">
        <v>115</v>
      </c>
      <c r="K63" s="15" t="s">
        <v>382</v>
      </c>
      <c r="L63" s="17">
        <v>0</v>
      </c>
      <c r="M63" s="14" t="s">
        <v>66</v>
      </c>
      <c r="N63" s="18"/>
      <c r="O63" s="18">
        <v>46032</v>
      </c>
      <c r="P63" s="18">
        <v>46102</v>
      </c>
      <c r="Q63" s="18">
        <v>46123</v>
      </c>
      <c r="R63" s="18">
        <v>46143</v>
      </c>
      <c r="S63" s="15" t="s">
        <v>646</v>
      </c>
      <c r="T63" s="18">
        <v>46155</v>
      </c>
      <c r="U63" s="18">
        <v>46155</v>
      </c>
      <c r="V63" s="15" t="s">
        <v>647</v>
      </c>
      <c r="W63" s="15" t="s">
        <v>648</v>
      </c>
      <c r="X63" s="12">
        <f t="shared" ca="1" si="4"/>
        <v>-237</v>
      </c>
      <c r="Y63" s="19" t="str">
        <f t="shared" ca="1" si="5"/>
        <v>Expired</v>
      </c>
      <c r="Z63" s="15" t="s">
        <v>649</v>
      </c>
      <c r="AA63" s="15" t="s">
        <v>650</v>
      </c>
      <c r="AB63" s="20" t="s">
        <v>651</v>
      </c>
      <c r="AC63" s="15" t="s">
        <v>27</v>
      </c>
      <c r="AD63" s="15" t="s">
        <v>652</v>
      </c>
      <c r="AE63" s="18">
        <v>46269</v>
      </c>
      <c r="AF63" s="15" t="s">
        <v>653</v>
      </c>
      <c r="AG63" s="18">
        <v>45713</v>
      </c>
    </row>
    <row r="64" spans="1:33" ht="48" customHeight="1" x14ac:dyDescent="0.35">
      <c r="A64" s="3">
        <v>63</v>
      </c>
      <c r="B64" s="4" t="s">
        <v>654</v>
      </c>
      <c r="C64" s="3">
        <v>2026</v>
      </c>
      <c r="D64" s="5" t="s">
        <v>123</v>
      </c>
      <c r="E64" s="6" t="s">
        <v>655</v>
      </c>
      <c r="F64" s="7" t="s">
        <v>36</v>
      </c>
      <c r="G64" s="5" t="s">
        <v>363</v>
      </c>
      <c r="H64" s="3">
        <f t="shared" si="3"/>
        <v>3</v>
      </c>
      <c r="I64" s="7" t="s">
        <v>110</v>
      </c>
      <c r="J64" s="6" t="s">
        <v>452</v>
      </c>
      <c r="K64" s="6" t="s">
        <v>656</v>
      </c>
      <c r="L64" s="8">
        <v>0</v>
      </c>
      <c r="M64" s="5" t="s">
        <v>66</v>
      </c>
      <c r="N64" s="9"/>
      <c r="O64" s="9">
        <v>46052</v>
      </c>
      <c r="P64" s="9"/>
      <c r="Q64" s="9"/>
      <c r="R64" s="9"/>
      <c r="S64" s="6" t="s">
        <v>657</v>
      </c>
      <c r="T64" s="9">
        <v>46108</v>
      </c>
      <c r="U64" s="9">
        <v>46109</v>
      </c>
      <c r="V64" s="6" t="s">
        <v>658</v>
      </c>
      <c r="W64" s="6" t="s">
        <v>115</v>
      </c>
      <c r="X64" s="3">
        <f t="shared" ca="1" si="4"/>
        <v>-217</v>
      </c>
      <c r="Y64" s="10" t="str">
        <f t="shared" ca="1" si="5"/>
        <v>Expired</v>
      </c>
      <c r="Z64" s="6" t="s">
        <v>659</v>
      </c>
      <c r="AA64" s="6" t="s">
        <v>660</v>
      </c>
      <c r="AB64" s="11" t="s">
        <v>661</v>
      </c>
      <c r="AC64" s="6" t="s">
        <v>27</v>
      </c>
      <c r="AD64" s="6" t="s">
        <v>40</v>
      </c>
      <c r="AE64" s="9">
        <v>46269</v>
      </c>
      <c r="AF64" s="6" t="s">
        <v>662</v>
      </c>
      <c r="AG64" s="9">
        <v>45713</v>
      </c>
    </row>
    <row r="65" spans="1:33" ht="48" customHeight="1" x14ac:dyDescent="0.35">
      <c r="A65" s="12">
        <v>64</v>
      </c>
      <c r="B65" s="13" t="s">
        <v>663</v>
      </c>
      <c r="C65" s="12">
        <v>2026</v>
      </c>
      <c r="D65" s="14" t="s">
        <v>607</v>
      </c>
      <c r="E65" s="15" t="s">
        <v>664</v>
      </c>
      <c r="F65" s="16" t="s">
        <v>36</v>
      </c>
      <c r="G65" s="14" t="s">
        <v>363</v>
      </c>
      <c r="H65" s="12">
        <f t="shared" si="3"/>
        <v>3</v>
      </c>
      <c r="I65" s="16" t="s">
        <v>110</v>
      </c>
      <c r="J65" s="15" t="s">
        <v>665</v>
      </c>
      <c r="K65" s="15" t="s">
        <v>666</v>
      </c>
      <c r="L65" s="17">
        <v>600</v>
      </c>
      <c r="M65" s="14" t="s">
        <v>162</v>
      </c>
      <c r="N65" s="18"/>
      <c r="O65" s="18">
        <v>46053</v>
      </c>
      <c r="P65" s="18">
        <v>46096</v>
      </c>
      <c r="Q65" s="9">
        <v>46112</v>
      </c>
      <c r="R65" s="18">
        <v>46127</v>
      </c>
      <c r="S65" s="15" t="s">
        <v>667</v>
      </c>
      <c r="T65" s="18">
        <v>46175</v>
      </c>
      <c r="U65" s="18">
        <v>46178</v>
      </c>
      <c r="V65" s="15" t="s">
        <v>668</v>
      </c>
      <c r="W65" s="15" t="s">
        <v>669</v>
      </c>
      <c r="X65" s="12">
        <f t="shared" ca="1" si="4"/>
        <v>-216</v>
      </c>
      <c r="Y65" s="19" t="str">
        <f t="shared" ca="1" si="5"/>
        <v>Expired</v>
      </c>
      <c r="Z65" s="15" t="s">
        <v>670</v>
      </c>
      <c r="AA65" s="15" t="s">
        <v>671</v>
      </c>
      <c r="AB65" s="20" t="s">
        <v>672</v>
      </c>
      <c r="AC65" s="15" t="s">
        <v>27</v>
      </c>
      <c r="AD65" s="15" t="s">
        <v>673</v>
      </c>
      <c r="AE65" s="18">
        <v>46269</v>
      </c>
      <c r="AF65" s="15" t="s">
        <v>674</v>
      </c>
      <c r="AG65" s="18">
        <v>44730</v>
      </c>
    </row>
    <row r="66" spans="1:33" ht="36" customHeight="1" x14ac:dyDescent="0.35">
      <c r="A66" s="3">
        <v>65</v>
      </c>
      <c r="B66" s="4" t="s">
        <v>675</v>
      </c>
      <c r="C66" s="3">
        <v>2026</v>
      </c>
      <c r="D66" s="5" t="s">
        <v>94</v>
      </c>
      <c r="E66" s="6" t="s">
        <v>676</v>
      </c>
      <c r="F66" s="7" t="s">
        <v>36</v>
      </c>
      <c r="G66" s="5" t="s">
        <v>363</v>
      </c>
      <c r="H66" s="3">
        <f t="shared" ref="H66:H97" si="6">IF($G66="High",1,IF($G66="Mediocre",2,3))</f>
        <v>3</v>
      </c>
      <c r="I66" s="7" t="s">
        <v>53</v>
      </c>
      <c r="J66" s="6" t="s">
        <v>115</v>
      </c>
      <c r="K66" s="6" t="s">
        <v>382</v>
      </c>
      <c r="L66" s="8">
        <v>0</v>
      </c>
      <c r="M66" s="5" t="s">
        <v>66</v>
      </c>
      <c r="N66" s="9"/>
      <c r="O66" s="9">
        <v>46053</v>
      </c>
      <c r="P66" s="9">
        <v>46090</v>
      </c>
      <c r="Q66" s="9">
        <v>46097</v>
      </c>
      <c r="R66" s="9">
        <v>46107</v>
      </c>
      <c r="S66" s="6" t="s">
        <v>677</v>
      </c>
      <c r="T66" s="9">
        <v>46107</v>
      </c>
      <c r="U66" s="9">
        <v>46108</v>
      </c>
      <c r="V66" s="6" t="s">
        <v>356</v>
      </c>
      <c r="W66" s="6" t="s">
        <v>115</v>
      </c>
      <c r="X66" s="3">
        <f t="shared" ref="X66:X97" ca="1" si="7">IF(O66="","",INT(O66)-TODAY())</f>
        <v>-216</v>
      </c>
      <c r="Y66" s="10" t="str">
        <f t="shared" ref="Y66:Y97" ca="1" si="8">IF($G66="Finished","Expired",IF(AND(O66&lt;&gt;"",INT(O66)&gt;=TODAY()),IF(INT(O66)-TODAY()&lt;=30,"Open - closing soon","Open"),IF(AND(T66&lt;&gt;"",U66&lt;&gt;"",INT(T66)&lt;=TODAY(),INT(U66)&gt;=TODAY()),"Event in progress",IF(AND(O66="",R66&lt;&gt;"",INT(R66)&gt;=TODAY()),"Registration due",IF(AND(O66="",U66&lt;&gt;"",INT(U66)&gt;=TODAY()),"Deadline not published",IF(AND(O66&lt;&gt;"",Q66&lt;&gt;"",INT(Q66)&gt;=TODAY()),"Camera-ready due",IF(AND(O66&lt;&gt;"",R66&lt;&gt;"",INT(R66)&gt;=TODAY()),"Registration due",IF(AND(U66&lt;&gt;"",INT(U66)&gt;=TODAY()),"Submissions closed - event ahead","Expired"))))))))</f>
        <v>Expired</v>
      </c>
      <c r="Z66" s="6" t="s">
        <v>678</v>
      </c>
      <c r="AA66" s="6" t="s">
        <v>40</v>
      </c>
      <c r="AB66" s="11" t="s">
        <v>679</v>
      </c>
      <c r="AC66" s="6" t="s">
        <v>27</v>
      </c>
      <c r="AD66" s="6" t="s">
        <v>680</v>
      </c>
      <c r="AE66" s="9">
        <v>46269</v>
      </c>
      <c r="AF66" s="6" t="s">
        <v>681</v>
      </c>
      <c r="AG66" s="9">
        <v>45463</v>
      </c>
    </row>
    <row r="67" spans="1:33" ht="24" customHeight="1" x14ac:dyDescent="0.35">
      <c r="A67" s="12">
        <v>66</v>
      </c>
      <c r="B67" s="13" t="s">
        <v>682</v>
      </c>
      <c r="C67" s="12">
        <v>2026</v>
      </c>
      <c r="D67" s="14" t="s">
        <v>66</v>
      </c>
      <c r="E67" s="15" t="s">
        <v>683</v>
      </c>
      <c r="F67" s="16" t="s">
        <v>109</v>
      </c>
      <c r="G67" s="14" t="s">
        <v>363</v>
      </c>
      <c r="H67" s="12">
        <f t="shared" si="6"/>
        <v>3</v>
      </c>
      <c r="I67" s="16" t="s">
        <v>53</v>
      </c>
      <c r="J67" s="15" t="s">
        <v>684</v>
      </c>
      <c r="K67" s="15" t="s">
        <v>472</v>
      </c>
      <c r="L67" s="17">
        <v>0</v>
      </c>
      <c r="M67" s="14" t="s">
        <v>66</v>
      </c>
      <c r="N67" s="18"/>
      <c r="O67" s="18">
        <v>46060</v>
      </c>
      <c r="P67" s="18">
        <v>46067</v>
      </c>
      <c r="Q67" s="18">
        <v>46074</v>
      </c>
      <c r="R67" s="18"/>
      <c r="S67" s="15" t="s">
        <v>685</v>
      </c>
      <c r="T67" s="18">
        <v>46081</v>
      </c>
      <c r="U67" s="18">
        <v>46081</v>
      </c>
      <c r="V67" s="15" t="s">
        <v>411</v>
      </c>
      <c r="W67" s="15" t="s">
        <v>115</v>
      </c>
      <c r="X67" s="12">
        <f t="shared" ca="1" si="7"/>
        <v>-209</v>
      </c>
      <c r="Y67" s="19" t="str">
        <f t="shared" ca="1" si="8"/>
        <v>Expired</v>
      </c>
      <c r="Z67" s="15" t="s">
        <v>115</v>
      </c>
      <c r="AA67" s="15" t="s">
        <v>686</v>
      </c>
      <c r="AB67" s="20" t="s">
        <v>687</v>
      </c>
      <c r="AC67" s="15" t="s">
        <v>27</v>
      </c>
      <c r="AD67" s="15" t="s">
        <v>688</v>
      </c>
      <c r="AE67" s="18">
        <v>46269</v>
      </c>
      <c r="AF67" s="15" t="s">
        <v>689</v>
      </c>
      <c r="AG67" s="18">
        <v>45608</v>
      </c>
    </row>
    <row r="68" spans="1:33" ht="48" customHeight="1" x14ac:dyDescent="0.35">
      <c r="A68" s="3">
        <v>67</v>
      </c>
      <c r="B68" s="4" t="s">
        <v>690</v>
      </c>
      <c r="C68" s="3">
        <v>2026</v>
      </c>
      <c r="D68" s="5" t="s">
        <v>94</v>
      </c>
      <c r="E68" s="6" t="s">
        <v>691</v>
      </c>
      <c r="F68" s="7" t="s">
        <v>36</v>
      </c>
      <c r="G68" s="5" t="s">
        <v>363</v>
      </c>
      <c r="H68" s="3">
        <f t="shared" si="6"/>
        <v>3</v>
      </c>
      <c r="I68" s="7" t="s">
        <v>389</v>
      </c>
      <c r="J68" s="6" t="s">
        <v>115</v>
      </c>
      <c r="K68" s="6" t="s">
        <v>692</v>
      </c>
      <c r="L68" s="8">
        <v>0</v>
      </c>
      <c r="M68" s="5" t="s">
        <v>66</v>
      </c>
      <c r="N68" s="9"/>
      <c r="O68" s="9">
        <v>46086</v>
      </c>
      <c r="P68" s="9"/>
      <c r="Q68" s="9"/>
      <c r="R68" s="9">
        <v>46086</v>
      </c>
      <c r="S68" s="6" t="s">
        <v>693</v>
      </c>
      <c r="T68" s="9">
        <v>46091</v>
      </c>
      <c r="U68" s="9">
        <v>46091</v>
      </c>
      <c r="V68" s="6" t="s">
        <v>694</v>
      </c>
      <c r="W68" s="6" t="s">
        <v>115</v>
      </c>
      <c r="X68" s="3">
        <f t="shared" ca="1" si="7"/>
        <v>-183</v>
      </c>
      <c r="Y68" s="10" t="str">
        <f t="shared" ca="1" si="8"/>
        <v>Expired</v>
      </c>
      <c r="Z68" s="6" t="s">
        <v>695</v>
      </c>
      <c r="AA68" s="6" t="s">
        <v>40</v>
      </c>
      <c r="AB68" s="11" t="s">
        <v>696</v>
      </c>
      <c r="AC68" s="6" t="s">
        <v>154</v>
      </c>
      <c r="AD68" s="6" t="s">
        <v>697</v>
      </c>
      <c r="AE68" s="9">
        <v>46269</v>
      </c>
      <c r="AF68" s="6" t="s">
        <v>698</v>
      </c>
      <c r="AG68" s="9">
        <v>45683</v>
      </c>
    </row>
    <row r="69" spans="1:33" ht="48" customHeight="1" x14ac:dyDescent="0.35">
      <c r="A69" s="12">
        <v>68</v>
      </c>
      <c r="B69" s="13" t="s">
        <v>699</v>
      </c>
      <c r="C69" s="12">
        <v>2026</v>
      </c>
      <c r="D69" s="14" t="s">
        <v>301</v>
      </c>
      <c r="E69" s="15" t="s">
        <v>700</v>
      </c>
      <c r="F69" s="16" t="s">
        <v>109</v>
      </c>
      <c r="G69" s="14" t="s">
        <v>363</v>
      </c>
      <c r="H69" s="12">
        <f t="shared" si="6"/>
        <v>3</v>
      </c>
      <c r="I69" s="16" t="s">
        <v>701</v>
      </c>
      <c r="J69" s="15" t="s">
        <v>701</v>
      </c>
      <c r="K69" s="15" t="s">
        <v>382</v>
      </c>
      <c r="L69" s="17">
        <v>0</v>
      </c>
      <c r="M69" s="14" t="s">
        <v>66</v>
      </c>
      <c r="N69" s="18"/>
      <c r="O69" s="18">
        <v>46097</v>
      </c>
      <c r="P69" s="18">
        <v>46127</v>
      </c>
      <c r="Q69" s="18">
        <v>46138</v>
      </c>
      <c r="R69" s="18"/>
      <c r="S69" s="15" t="s">
        <v>702</v>
      </c>
      <c r="T69" s="18">
        <v>46171</v>
      </c>
      <c r="U69" s="18">
        <v>46172</v>
      </c>
      <c r="V69" s="15" t="s">
        <v>703</v>
      </c>
      <c r="W69" s="15" t="s">
        <v>86</v>
      </c>
      <c r="X69" s="12">
        <f t="shared" ca="1" si="7"/>
        <v>-172</v>
      </c>
      <c r="Y69" s="19" t="str">
        <f t="shared" ca="1" si="8"/>
        <v>Expired</v>
      </c>
      <c r="Z69" s="15" t="s">
        <v>704</v>
      </c>
      <c r="AA69" s="15" t="s">
        <v>705</v>
      </c>
      <c r="AB69" s="20" t="s">
        <v>706</v>
      </c>
      <c r="AC69" s="15" t="s">
        <v>27</v>
      </c>
      <c r="AD69" s="15" t="s">
        <v>40</v>
      </c>
      <c r="AE69" s="18">
        <v>46269</v>
      </c>
      <c r="AF69" s="15" t="s">
        <v>707</v>
      </c>
      <c r="AG69" s="18">
        <v>44294</v>
      </c>
    </row>
    <row r="70" spans="1:33" ht="36" customHeight="1" x14ac:dyDescent="0.35">
      <c r="A70" s="3">
        <v>69</v>
      </c>
      <c r="B70" s="4" t="s">
        <v>708</v>
      </c>
      <c r="C70" s="3">
        <v>2026</v>
      </c>
      <c r="D70" s="5" t="s">
        <v>607</v>
      </c>
      <c r="E70" s="6" t="s">
        <v>709</v>
      </c>
      <c r="F70" s="7" t="s">
        <v>109</v>
      </c>
      <c r="G70" s="5" t="s">
        <v>363</v>
      </c>
      <c r="H70" s="3">
        <f t="shared" si="6"/>
        <v>3</v>
      </c>
      <c r="I70" s="7" t="s">
        <v>53</v>
      </c>
      <c r="J70" s="6" t="s">
        <v>710</v>
      </c>
      <c r="K70" s="6" t="s">
        <v>382</v>
      </c>
      <c r="L70" s="8">
        <v>0</v>
      </c>
      <c r="M70" s="5" t="s">
        <v>66</v>
      </c>
      <c r="N70" s="9"/>
      <c r="O70" s="9">
        <v>46103</v>
      </c>
      <c r="P70" s="9">
        <v>46124</v>
      </c>
      <c r="Q70" s="9">
        <v>46138</v>
      </c>
      <c r="R70" s="9"/>
      <c r="S70" s="6" t="s">
        <v>711</v>
      </c>
      <c r="T70" s="9">
        <v>46147</v>
      </c>
      <c r="U70" s="9">
        <v>46147</v>
      </c>
      <c r="V70" s="6" t="s">
        <v>712</v>
      </c>
      <c r="W70" s="6" t="s">
        <v>43</v>
      </c>
      <c r="X70" s="3">
        <f t="shared" ca="1" si="7"/>
        <v>-166</v>
      </c>
      <c r="Y70" s="10" t="str">
        <f t="shared" ca="1" si="8"/>
        <v>Expired</v>
      </c>
      <c r="Z70" s="6" t="s">
        <v>713</v>
      </c>
      <c r="AA70" s="6" t="s">
        <v>714</v>
      </c>
      <c r="AB70" s="11" t="s">
        <v>715</v>
      </c>
      <c r="AC70" s="6" t="s">
        <v>132</v>
      </c>
      <c r="AD70" s="6" t="s">
        <v>716</v>
      </c>
      <c r="AE70" s="9">
        <v>46269</v>
      </c>
      <c r="AF70" s="6" t="s">
        <v>717</v>
      </c>
      <c r="AG70" s="9">
        <v>44208</v>
      </c>
    </row>
    <row r="71" spans="1:33" ht="36" customHeight="1" x14ac:dyDescent="0.35">
      <c r="A71" s="12">
        <v>70</v>
      </c>
      <c r="B71" s="13" t="s">
        <v>718</v>
      </c>
      <c r="C71" s="12">
        <v>2026</v>
      </c>
      <c r="D71" s="14" t="s">
        <v>94</v>
      </c>
      <c r="E71" s="15" t="s">
        <v>719</v>
      </c>
      <c r="F71" s="16" t="s">
        <v>52</v>
      </c>
      <c r="G71" s="14" t="s">
        <v>363</v>
      </c>
      <c r="H71" s="12">
        <f t="shared" si="6"/>
        <v>3</v>
      </c>
      <c r="I71" s="16" t="s">
        <v>53</v>
      </c>
      <c r="J71" s="15" t="s">
        <v>720</v>
      </c>
      <c r="K71" s="15" t="s">
        <v>112</v>
      </c>
      <c r="L71" s="17"/>
      <c r="M71" s="14"/>
      <c r="N71" s="18"/>
      <c r="O71" s="18">
        <v>46108</v>
      </c>
      <c r="P71" s="18">
        <v>46129</v>
      </c>
      <c r="Q71" s="18">
        <v>46142</v>
      </c>
      <c r="R71" s="18"/>
      <c r="S71" s="15" t="s">
        <v>721</v>
      </c>
      <c r="T71" s="18">
        <v>46149</v>
      </c>
      <c r="U71" s="18">
        <v>46150</v>
      </c>
      <c r="V71" s="15" t="s">
        <v>722</v>
      </c>
      <c r="W71" s="15" t="s">
        <v>115</v>
      </c>
      <c r="X71" s="12">
        <f t="shared" ca="1" si="7"/>
        <v>-161</v>
      </c>
      <c r="Y71" s="19" t="str">
        <f t="shared" ca="1" si="8"/>
        <v>Expired</v>
      </c>
      <c r="Z71" s="15" t="s">
        <v>540</v>
      </c>
      <c r="AA71" s="15" t="s">
        <v>723</v>
      </c>
      <c r="AB71" s="20" t="s">
        <v>724</v>
      </c>
      <c r="AC71" s="15" t="s">
        <v>27</v>
      </c>
      <c r="AD71" s="15" t="s">
        <v>725</v>
      </c>
      <c r="AE71" s="18">
        <v>46269</v>
      </c>
      <c r="AF71" s="15" t="s">
        <v>726</v>
      </c>
      <c r="AG71" s="18">
        <v>45608</v>
      </c>
    </row>
    <row r="72" spans="1:33" ht="60" customHeight="1" x14ac:dyDescent="0.35">
      <c r="A72" s="3">
        <v>71</v>
      </c>
      <c r="B72" s="4" t="s">
        <v>727</v>
      </c>
      <c r="C72" s="3">
        <v>2026</v>
      </c>
      <c r="D72" s="5" t="s">
        <v>94</v>
      </c>
      <c r="E72" s="6" t="s">
        <v>728</v>
      </c>
      <c r="F72" s="7" t="s">
        <v>52</v>
      </c>
      <c r="G72" s="5" t="s">
        <v>363</v>
      </c>
      <c r="H72" s="3">
        <f t="shared" si="6"/>
        <v>3</v>
      </c>
      <c r="I72" s="7" t="s">
        <v>389</v>
      </c>
      <c r="J72" s="6" t="s">
        <v>115</v>
      </c>
      <c r="K72" s="6" t="s">
        <v>729</v>
      </c>
      <c r="L72" s="8">
        <v>0</v>
      </c>
      <c r="M72" s="5" t="s">
        <v>66</v>
      </c>
      <c r="N72" s="9"/>
      <c r="O72" s="9">
        <v>46143</v>
      </c>
      <c r="P72" s="9">
        <v>46150</v>
      </c>
      <c r="Q72" s="9">
        <v>46152</v>
      </c>
      <c r="R72" s="9">
        <v>46143</v>
      </c>
      <c r="S72" s="6" t="s">
        <v>730</v>
      </c>
      <c r="T72" s="9">
        <v>46156</v>
      </c>
      <c r="U72" s="9">
        <v>46157</v>
      </c>
      <c r="V72" s="6" t="s">
        <v>356</v>
      </c>
      <c r="W72" s="6" t="s">
        <v>731</v>
      </c>
      <c r="X72" s="3">
        <f t="shared" ca="1" si="7"/>
        <v>-126</v>
      </c>
      <c r="Y72" s="10" t="str">
        <f t="shared" ca="1" si="8"/>
        <v>Expired</v>
      </c>
      <c r="Z72" s="6" t="s">
        <v>115</v>
      </c>
      <c r="AA72" s="6" t="s">
        <v>40</v>
      </c>
      <c r="AB72" s="11" t="s">
        <v>732</v>
      </c>
      <c r="AC72" s="6" t="s">
        <v>27</v>
      </c>
      <c r="AD72" s="6" t="s">
        <v>733</v>
      </c>
      <c r="AE72" s="9">
        <v>46269</v>
      </c>
      <c r="AF72" s="6" t="s">
        <v>734</v>
      </c>
      <c r="AG72" s="9">
        <v>45723</v>
      </c>
    </row>
    <row r="73" spans="1:33" ht="60" customHeight="1" x14ac:dyDescent="0.35">
      <c r="A73" s="12">
        <v>72</v>
      </c>
      <c r="B73" s="13" t="s">
        <v>735</v>
      </c>
      <c r="C73" s="12">
        <v>2026</v>
      </c>
      <c r="D73" s="14" t="s">
        <v>94</v>
      </c>
      <c r="E73" s="15" t="s">
        <v>736</v>
      </c>
      <c r="F73" s="16" t="s">
        <v>52</v>
      </c>
      <c r="G73" s="14" t="s">
        <v>363</v>
      </c>
      <c r="H73" s="12">
        <f t="shared" si="6"/>
        <v>3</v>
      </c>
      <c r="I73" s="16" t="s">
        <v>53</v>
      </c>
      <c r="J73" s="15" t="s">
        <v>115</v>
      </c>
      <c r="K73" s="15" t="s">
        <v>737</v>
      </c>
      <c r="L73" s="17"/>
      <c r="M73" s="14"/>
      <c r="N73" s="9">
        <v>46153</v>
      </c>
      <c r="O73" s="18">
        <v>46157</v>
      </c>
      <c r="P73" s="18">
        <v>46181</v>
      </c>
      <c r="Q73" s="18"/>
      <c r="R73" s="18"/>
      <c r="S73" s="15" t="s">
        <v>738</v>
      </c>
      <c r="T73" s="18">
        <v>46249</v>
      </c>
      <c r="U73" s="18">
        <v>46251</v>
      </c>
      <c r="V73" s="15" t="s">
        <v>739</v>
      </c>
      <c r="W73" s="15" t="s">
        <v>740</v>
      </c>
      <c r="X73" s="12">
        <f t="shared" ca="1" si="7"/>
        <v>-112</v>
      </c>
      <c r="Y73" s="19" t="str">
        <f t="shared" ca="1" si="8"/>
        <v>Expired</v>
      </c>
      <c r="Z73" s="15" t="s">
        <v>741</v>
      </c>
      <c r="AA73" s="15" t="s">
        <v>742</v>
      </c>
      <c r="AB73" s="20" t="s">
        <v>743</v>
      </c>
      <c r="AC73" s="15" t="s">
        <v>27</v>
      </c>
      <c r="AD73" s="15" t="s">
        <v>40</v>
      </c>
      <c r="AE73" s="18">
        <v>46269</v>
      </c>
      <c r="AF73" s="15" t="s">
        <v>744</v>
      </c>
      <c r="AG73" s="18">
        <v>45723</v>
      </c>
    </row>
    <row r="74" spans="1:33" ht="72" customHeight="1" x14ac:dyDescent="0.35">
      <c r="A74" s="3">
        <v>73</v>
      </c>
      <c r="B74" s="4" t="s">
        <v>745</v>
      </c>
      <c r="C74" s="3">
        <v>2026</v>
      </c>
      <c r="D74" s="5" t="s">
        <v>66</v>
      </c>
      <c r="E74" s="6" t="s">
        <v>746</v>
      </c>
      <c r="F74" s="7" t="s">
        <v>36</v>
      </c>
      <c r="G74" s="5" t="s">
        <v>363</v>
      </c>
      <c r="H74" s="3">
        <f t="shared" si="6"/>
        <v>3</v>
      </c>
      <c r="I74" s="7" t="s">
        <v>38</v>
      </c>
      <c r="J74" s="6" t="s">
        <v>747</v>
      </c>
      <c r="K74" s="6" t="s">
        <v>748</v>
      </c>
      <c r="L74" s="8">
        <v>500</v>
      </c>
      <c r="M74" s="5" t="s">
        <v>56</v>
      </c>
      <c r="N74" s="9">
        <v>46157</v>
      </c>
      <c r="O74" s="9">
        <v>46157</v>
      </c>
      <c r="P74" s="9"/>
      <c r="Q74" s="9"/>
      <c r="R74" s="9">
        <v>46185</v>
      </c>
      <c r="S74" s="6" t="s">
        <v>749</v>
      </c>
      <c r="T74" s="9">
        <v>46185</v>
      </c>
      <c r="U74" s="9">
        <v>46186</v>
      </c>
      <c r="V74" s="6" t="s">
        <v>750</v>
      </c>
      <c r="W74" s="6" t="s">
        <v>751</v>
      </c>
      <c r="X74" s="3">
        <f t="shared" ca="1" si="7"/>
        <v>-112</v>
      </c>
      <c r="Y74" s="10" t="str">
        <f t="shared" ca="1" si="8"/>
        <v>Expired</v>
      </c>
      <c r="Z74" s="6" t="s">
        <v>752</v>
      </c>
      <c r="AA74" s="6" t="s">
        <v>753</v>
      </c>
      <c r="AB74" s="11" t="s">
        <v>754</v>
      </c>
      <c r="AC74" s="6" t="s">
        <v>27</v>
      </c>
      <c r="AD74" s="6" t="s">
        <v>755</v>
      </c>
      <c r="AE74" s="9">
        <v>46269</v>
      </c>
      <c r="AF74" s="6" t="s">
        <v>756</v>
      </c>
      <c r="AG74" s="9">
        <v>45713</v>
      </c>
    </row>
    <row r="75" spans="1:33" ht="36" customHeight="1" x14ac:dyDescent="0.35">
      <c r="A75" s="12">
        <v>74</v>
      </c>
      <c r="B75" s="13" t="s">
        <v>757</v>
      </c>
      <c r="C75" s="12">
        <v>2026</v>
      </c>
      <c r="D75" s="14" t="s">
        <v>66</v>
      </c>
      <c r="E75" s="15" t="s">
        <v>758</v>
      </c>
      <c r="F75" s="16" t="s">
        <v>36</v>
      </c>
      <c r="G75" s="14" t="s">
        <v>363</v>
      </c>
      <c r="H75" s="12">
        <f t="shared" si="6"/>
        <v>3</v>
      </c>
      <c r="I75" s="16" t="s">
        <v>53</v>
      </c>
      <c r="J75" s="15" t="s">
        <v>759</v>
      </c>
      <c r="K75" s="15" t="s">
        <v>599</v>
      </c>
      <c r="L75" s="17">
        <v>0</v>
      </c>
      <c r="M75" s="14" t="s">
        <v>66</v>
      </c>
      <c r="N75" s="18"/>
      <c r="O75" s="18">
        <v>46160</v>
      </c>
      <c r="P75" s="18">
        <v>46191</v>
      </c>
      <c r="Q75" s="18">
        <v>46196</v>
      </c>
      <c r="R75" s="18"/>
      <c r="S75" s="15" t="s">
        <v>760</v>
      </c>
      <c r="T75" s="18">
        <v>46205</v>
      </c>
      <c r="U75" s="18">
        <v>46205</v>
      </c>
      <c r="V75" s="15" t="s">
        <v>761</v>
      </c>
      <c r="W75" s="15" t="s">
        <v>115</v>
      </c>
      <c r="X75" s="12">
        <f t="shared" ca="1" si="7"/>
        <v>-109</v>
      </c>
      <c r="Y75" s="19" t="str">
        <f t="shared" ca="1" si="8"/>
        <v>Expired</v>
      </c>
      <c r="Z75" s="15" t="s">
        <v>115</v>
      </c>
      <c r="AA75" s="15" t="s">
        <v>762</v>
      </c>
      <c r="AB75" s="20" t="s">
        <v>763</v>
      </c>
      <c r="AC75" s="15" t="s">
        <v>27</v>
      </c>
      <c r="AD75" s="15" t="s">
        <v>764</v>
      </c>
      <c r="AE75" s="18">
        <v>46269</v>
      </c>
      <c r="AF75" s="15" t="s">
        <v>765</v>
      </c>
      <c r="AG75" s="18">
        <v>45608</v>
      </c>
    </row>
    <row r="76" spans="1:33" ht="36" customHeight="1" x14ac:dyDescent="0.35">
      <c r="A76" s="3">
        <v>75</v>
      </c>
      <c r="B76" s="4" t="s">
        <v>766</v>
      </c>
      <c r="C76" s="3">
        <v>2026</v>
      </c>
      <c r="D76" s="5" t="s">
        <v>123</v>
      </c>
      <c r="E76" s="6" t="s">
        <v>767</v>
      </c>
      <c r="F76" s="7" t="s">
        <v>109</v>
      </c>
      <c r="G76" s="5" t="s">
        <v>363</v>
      </c>
      <c r="H76" s="3">
        <f t="shared" si="6"/>
        <v>3</v>
      </c>
      <c r="I76" s="7" t="s">
        <v>53</v>
      </c>
      <c r="J76" s="6" t="s">
        <v>598</v>
      </c>
      <c r="K76" s="6" t="s">
        <v>599</v>
      </c>
      <c r="L76" s="8">
        <v>0</v>
      </c>
      <c r="M76" s="5" t="s">
        <v>66</v>
      </c>
      <c r="N76" s="9"/>
      <c r="O76" s="9">
        <v>46162</v>
      </c>
      <c r="P76" s="9">
        <v>46193</v>
      </c>
      <c r="Q76" s="9">
        <v>46200</v>
      </c>
      <c r="R76" s="9"/>
      <c r="S76" s="6" t="s">
        <v>768</v>
      </c>
      <c r="T76" s="9">
        <v>46206</v>
      </c>
      <c r="U76" s="9">
        <v>46206</v>
      </c>
      <c r="V76" s="6" t="s">
        <v>761</v>
      </c>
      <c r="W76" s="6" t="s">
        <v>115</v>
      </c>
      <c r="X76" s="3">
        <f t="shared" ca="1" si="7"/>
        <v>-107</v>
      </c>
      <c r="Y76" s="10" t="str">
        <f t="shared" ca="1" si="8"/>
        <v>Expired</v>
      </c>
      <c r="Z76" s="6" t="s">
        <v>115</v>
      </c>
      <c r="AA76" s="6" t="s">
        <v>769</v>
      </c>
      <c r="AB76" s="11" t="s">
        <v>770</v>
      </c>
      <c r="AC76" s="6" t="s">
        <v>27</v>
      </c>
      <c r="AD76" s="6" t="s">
        <v>771</v>
      </c>
      <c r="AE76" s="9">
        <v>46269</v>
      </c>
      <c r="AF76" s="6" t="s">
        <v>772</v>
      </c>
      <c r="AG76" s="9">
        <v>44208</v>
      </c>
    </row>
    <row r="77" spans="1:33" ht="36" customHeight="1" x14ac:dyDescent="0.35">
      <c r="A77" s="12">
        <v>76</v>
      </c>
      <c r="B77" s="13" t="s">
        <v>773</v>
      </c>
      <c r="C77" s="12">
        <v>2026</v>
      </c>
      <c r="D77" s="14" t="s">
        <v>301</v>
      </c>
      <c r="E77" s="15" t="s">
        <v>774</v>
      </c>
      <c r="F77" s="16" t="s">
        <v>52</v>
      </c>
      <c r="G77" s="14" t="s">
        <v>363</v>
      </c>
      <c r="H77" s="12">
        <f t="shared" si="6"/>
        <v>3</v>
      </c>
      <c r="I77" s="16" t="s">
        <v>53</v>
      </c>
      <c r="J77" s="15" t="s">
        <v>115</v>
      </c>
      <c r="K77" s="15" t="s">
        <v>775</v>
      </c>
      <c r="L77" s="17">
        <v>0</v>
      </c>
      <c r="M77" s="14" t="s">
        <v>66</v>
      </c>
      <c r="N77" s="18"/>
      <c r="O77" s="18">
        <v>46181</v>
      </c>
      <c r="P77" s="18">
        <v>46188</v>
      </c>
      <c r="Q77" s="18">
        <v>46193</v>
      </c>
      <c r="R77" s="18"/>
      <c r="S77" s="15" t="s">
        <v>776</v>
      </c>
      <c r="T77" s="18">
        <v>46198</v>
      </c>
      <c r="U77" s="18">
        <v>46200</v>
      </c>
      <c r="V77" s="15" t="s">
        <v>203</v>
      </c>
      <c r="W77" s="15" t="s">
        <v>86</v>
      </c>
      <c r="X77" s="12">
        <f t="shared" ca="1" si="7"/>
        <v>-88</v>
      </c>
      <c r="Y77" s="19" t="str">
        <f t="shared" ca="1" si="8"/>
        <v>Expired</v>
      </c>
      <c r="Z77" s="15" t="s">
        <v>777</v>
      </c>
      <c r="AA77" s="15" t="s">
        <v>778</v>
      </c>
      <c r="AB77" s="20" t="s">
        <v>779</v>
      </c>
      <c r="AC77" s="15" t="s">
        <v>27</v>
      </c>
      <c r="AD77" s="15" t="s">
        <v>780</v>
      </c>
      <c r="AE77" s="18">
        <v>46269</v>
      </c>
      <c r="AF77" s="15" t="s">
        <v>781</v>
      </c>
      <c r="AG77" s="18">
        <v>45723</v>
      </c>
    </row>
    <row r="78" spans="1:33" ht="48" customHeight="1" x14ac:dyDescent="0.35">
      <c r="A78" s="3">
        <v>77</v>
      </c>
      <c r="B78" s="4" t="s">
        <v>782</v>
      </c>
      <c r="C78" s="3">
        <v>2026</v>
      </c>
      <c r="D78" s="5" t="s">
        <v>288</v>
      </c>
      <c r="E78" s="6" t="s">
        <v>783</v>
      </c>
      <c r="F78" s="7" t="s">
        <v>52</v>
      </c>
      <c r="G78" s="5" t="s">
        <v>363</v>
      </c>
      <c r="H78" s="3">
        <f t="shared" si="6"/>
        <v>3</v>
      </c>
      <c r="I78" s="7" t="s">
        <v>110</v>
      </c>
      <c r="J78" s="6" t="s">
        <v>784</v>
      </c>
      <c r="K78" s="6" t="s">
        <v>775</v>
      </c>
      <c r="L78" s="8">
        <v>0</v>
      </c>
      <c r="M78" s="5" t="s">
        <v>66</v>
      </c>
      <c r="N78" s="9"/>
      <c r="O78" s="9">
        <v>46198</v>
      </c>
      <c r="P78" s="9">
        <v>46204</v>
      </c>
      <c r="Q78" s="9">
        <v>46213</v>
      </c>
      <c r="R78" s="9"/>
      <c r="S78" s="6" t="s">
        <v>785</v>
      </c>
      <c r="T78" s="9">
        <v>46218</v>
      </c>
      <c r="U78" s="9">
        <v>46220</v>
      </c>
      <c r="V78" s="6" t="s">
        <v>786</v>
      </c>
      <c r="W78" s="6" t="s">
        <v>787</v>
      </c>
      <c r="X78" s="3">
        <f t="shared" ca="1" si="7"/>
        <v>-71</v>
      </c>
      <c r="Y78" s="10" t="str">
        <f t="shared" ca="1" si="8"/>
        <v>Expired</v>
      </c>
      <c r="Z78" s="6" t="s">
        <v>115</v>
      </c>
      <c r="AA78" s="6" t="s">
        <v>788</v>
      </c>
      <c r="AB78" s="11" t="s">
        <v>789</v>
      </c>
      <c r="AC78" s="6" t="s">
        <v>27</v>
      </c>
      <c r="AD78" s="6" t="s">
        <v>790</v>
      </c>
      <c r="AE78" s="9">
        <v>46269</v>
      </c>
      <c r="AF78" s="6" t="s">
        <v>791</v>
      </c>
      <c r="AG78" s="9">
        <v>45467</v>
      </c>
    </row>
    <row r="79" spans="1:33" ht="96" customHeight="1" x14ac:dyDescent="0.35">
      <c r="A79" s="12">
        <v>78</v>
      </c>
      <c r="B79" s="13" t="s">
        <v>792</v>
      </c>
      <c r="C79" s="12">
        <v>2025</v>
      </c>
      <c r="D79" s="14" t="s">
        <v>66</v>
      </c>
      <c r="E79" s="15" t="s">
        <v>793</v>
      </c>
      <c r="F79" s="16" t="s">
        <v>52</v>
      </c>
      <c r="G79" s="14" t="s">
        <v>363</v>
      </c>
      <c r="H79" s="12">
        <f t="shared" si="6"/>
        <v>3</v>
      </c>
      <c r="I79" s="16" t="s">
        <v>53</v>
      </c>
      <c r="J79" s="15" t="s">
        <v>794</v>
      </c>
      <c r="K79" s="15" t="s">
        <v>112</v>
      </c>
      <c r="L79" s="17"/>
      <c r="M79" s="14"/>
      <c r="N79" s="18"/>
      <c r="O79" s="18"/>
      <c r="P79" s="18"/>
      <c r="Q79" s="18"/>
      <c r="R79" s="18"/>
      <c r="S79" s="15" t="s">
        <v>584</v>
      </c>
      <c r="T79" s="18">
        <v>45980</v>
      </c>
      <c r="U79" s="18">
        <v>45981</v>
      </c>
      <c r="V79" s="15" t="s">
        <v>795</v>
      </c>
      <c r="W79" s="15" t="s">
        <v>796</v>
      </c>
      <c r="X79" s="12" t="str">
        <f t="shared" ca="1" si="7"/>
        <v/>
      </c>
      <c r="Y79" s="19" t="str">
        <f t="shared" ca="1" si="8"/>
        <v>Expired</v>
      </c>
      <c r="Z79" s="15" t="s">
        <v>115</v>
      </c>
      <c r="AA79" s="15" t="s">
        <v>797</v>
      </c>
      <c r="AB79" s="20" t="s">
        <v>798</v>
      </c>
      <c r="AC79" s="15" t="s">
        <v>799</v>
      </c>
      <c r="AD79" s="15" t="s">
        <v>800</v>
      </c>
      <c r="AE79" s="18">
        <v>46269</v>
      </c>
      <c r="AF79" s="15" t="s">
        <v>801</v>
      </c>
      <c r="AG79" s="18">
        <v>46269</v>
      </c>
    </row>
    <row r="80" spans="1:33" ht="84" customHeight="1" x14ac:dyDescent="0.35">
      <c r="A80" s="3">
        <v>79</v>
      </c>
      <c r="B80" s="4" t="s">
        <v>802</v>
      </c>
      <c r="C80" s="3">
        <v>2025</v>
      </c>
      <c r="D80" s="5" t="s">
        <v>371</v>
      </c>
      <c r="E80" s="6" t="s">
        <v>803</v>
      </c>
      <c r="F80" s="7" t="s">
        <v>52</v>
      </c>
      <c r="G80" s="5" t="s">
        <v>363</v>
      </c>
      <c r="H80" s="3">
        <f t="shared" si="6"/>
        <v>3</v>
      </c>
      <c r="I80" s="7" t="s">
        <v>53</v>
      </c>
      <c r="J80" s="6" t="s">
        <v>804</v>
      </c>
      <c r="K80" s="6" t="s">
        <v>112</v>
      </c>
      <c r="L80" s="8"/>
      <c r="M80" s="5"/>
      <c r="N80" s="9"/>
      <c r="O80" s="9"/>
      <c r="P80" s="9"/>
      <c r="Q80" s="9"/>
      <c r="R80" s="9"/>
      <c r="S80" s="6" t="s">
        <v>805</v>
      </c>
      <c r="T80" s="9">
        <v>45721</v>
      </c>
      <c r="U80" s="9">
        <v>45721</v>
      </c>
      <c r="V80" s="6" t="s">
        <v>795</v>
      </c>
      <c r="W80" s="6" t="s">
        <v>115</v>
      </c>
      <c r="X80" s="3" t="str">
        <f t="shared" ca="1" si="7"/>
        <v/>
      </c>
      <c r="Y80" s="10" t="str">
        <f t="shared" ca="1" si="8"/>
        <v>Expired</v>
      </c>
      <c r="Z80" s="6" t="s">
        <v>115</v>
      </c>
      <c r="AA80" s="6" t="s">
        <v>797</v>
      </c>
      <c r="AB80" s="11" t="s">
        <v>806</v>
      </c>
      <c r="AC80" s="6" t="s">
        <v>799</v>
      </c>
      <c r="AD80" s="6" t="s">
        <v>807</v>
      </c>
      <c r="AE80" s="9">
        <v>46269</v>
      </c>
      <c r="AF80" s="6" t="s">
        <v>808</v>
      </c>
      <c r="AG80" s="9">
        <v>46269</v>
      </c>
    </row>
    <row r="81" spans="1:33" ht="84" customHeight="1" x14ac:dyDescent="0.35">
      <c r="A81" s="12">
        <v>80</v>
      </c>
      <c r="B81" s="13" t="s">
        <v>809</v>
      </c>
      <c r="C81" s="12">
        <v>2025</v>
      </c>
      <c r="D81" s="14" t="s">
        <v>66</v>
      </c>
      <c r="E81" s="15" t="s">
        <v>810</v>
      </c>
      <c r="F81" s="16" t="s">
        <v>52</v>
      </c>
      <c r="G81" s="14" t="s">
        <v>363</v>
      </c>
      <c r="H81" s="12">
        <f t="shared" si="6"/>
        <v>3</v>
      </c>
      <c r="I81" s="16" t="s">
        <v>53</v>
      </c>
      <c r="J81" s="15" t="s">
        <v>811</v>
      </c>
      <c r="K81" s="15" t="s">
        <v>112</v>
      </c>
      <c r="L81" s="17"/>
      <c r="M81" s="14"/>
      <c r="N81" s="18"/>
      <c r="O81" s="18"/>
      <c r="P81" s="18"/>
      <c r="Q81" s="18"/>
      <c r="R81" s="18">
        <v>45978</v>
      </c>
      <c r="S81" s="15" t="s">
        <v>812</v>
      </c>
      <c r="T81" s="18">
        <v>46009</v>
      </c>
      <c r="U81" s="18">
        <v>46010</v>
      </c>
      <c r="V81" s="15" t="s">
        <v>223</v>
      </c>
      <c r="W81" s="15" t="s">
        <v>813</v>
      </c>
      <c r="X81" s="12" t="str">
        <f t="shared" ca="1" si="7"/>
        <v/>
      </c>
      <c r="Y81" s="19" t="str">
        <f t="shared" ca="1" si="8"/>
        <v>Expired</v>
      </c>
      <c r="Z81" s="15" t="s">
        <v>115</v>
      </c>
      <c r="AA81" s="15" t="s">
        <v>40</v>
      </c>
      <c r="AB81" s="20" t="s">
        <v>814</v>
      </c>
      <c r="AC81" s="15" t="s">
        <v>213</v>
      </c>
      <c r="AD81" s="15" t="s">
        <v>815</v>
      </c>
      <c r="AE81" s="18">
        <v>46269</v>
      </c>
      <c r="AF81" s="15" t="s">
        <v>816</v>
      </c>
      <c r="AG81" s="18">
        <v>46269</v>
      </c>
    </row>
    <row r="82" spans="1:33" ht="96" customHeight="1" x14ac:dyDescent="0.35">
      <c r="A82" s="3">
        <v>81</v>
      </c>
      <c r="B82" s="4" t="s">
        <v>817</v>
      </c>
      <c r="C82" s="3">
        <v>2025</v>
      </c>
      <c r="D82" s="5" t="s">
        <v>66</v>
      </c>
      <c r="E82" s="6" t="s">
        <v>818</v>
      </c>
      <c r="F82" s="7" t="s">
        <v>52</v>
      </c>
      <c r="G82" s="5" t="s">
        <v>363</v>
      </c>
      <c r="H82" s="3">
        <f t="shared" si="6"/>
        <v>3</v>
      </c>
      <c r="I82" s="7" t="s">
        <v>53</v>
      </c>
      <c r="J82" s="6" t="s">
        <v>819</v>
      </c>
      <c r="K82" s="6" t="s">
        <v>112</v>
      </c>
      <c r="L82" s="8"/>
      <c r="M82" s="5"/>
      <c r="N82" s="9"/>
      <c r="O82" s="9"/>
      <c r="P82" s="9"/>
      <c r="Q82" s="9"/>
      <c r="R82" s="9"/>
      <c r="S82" s="6" t="s">
        <v>584</v>
      </c>
      <c r="T82" s="9">
        <v>45980</v>
      </c>
      <c r="U82" s="9">
        <v>45981</v>
      </c>
      <c r="V82" s="6" t="s">
        <v>795</v>
      </c>
      <c r="W82" s="6" t="s">
        <v>796</v>
      </c>
      <c r="X82" s="3" t="str">
        <f t="shared" ca="1" si="7"/>
        <v/>
      </c>
      <c r="Y82" s="10" t="str">
        <f t="shared" ca="1" si="8"/>
        <v>Expired</v>
      </c>
      <c r="Z82" s="6" t="s">
        <v>115</v>
      </c>
      <c r="AA82" s="6" t="s">
        <v>797</v>
      </c>
      <c r="AB82" s="11" t="s">
        <v>820</v>
      </c>
      <c r="AC82" s="6" t="s">
        <v>799</v>
      </c>
      <c r="AD82" s="6" t="s">
        <v>800</v>
      </c>
      <c r="AE82" s="9">
        <v>46269</v>
      </c>
      <c r="AF82" s="6" t="s">
        <v>821</v>
      </c>
      <c r="AG82" s="9">
        <v>46269</v>
      </c>
    </row>
    <row r="83" spans="1:33" ht="96" customHeight="1" x14ac:dyDescent="0.35">
      <c r="A83" s="12">
        <v>82</v>
      </c>
      <c r="B83" s="13" t="s">
        <v>822</v>
      </c>
      <c r="C83" s="12">
        <v>2025</v>
      </c>
      <c r="D83" s="14" t="s">
        <v>66</v>
      </c>
      <c r="E83" s="15" t="s">
        <v>823</v>
      </c>
      <c r="F83" s="16" t="s">
        <v>52</v>
      </c>
      <c r="G83" s="14" t="s">
        <v>363</v>
      </c>
      <c r="H83" s="12">
        <f t="shared" si="6"/>
        <v>3</v>
      </c>
      <c r="I83" s="16" t="s">
        <v>53</v>
      </c>
      <c r="J83" s="15" t="s">
        <v>824</v>
      </c>
      <c r="K83" s="15" t="s">
        <v>112</v>
      </c>
      <c r="L83" s="17"/>
      <c r="M83" s="14"/>
      <c r="N83" s="18"/>
      <c r="O83" s="18"/>
      <c r="P83" s="18"/>
      <c r="Q83" s="18"/>
      <c r="R83" s="18"/>
      <c r="S83" s="15" t="s">
        <v>825</v>
      </c>
      <c r="T83" s="18">
        <v>45792</v>
      </c>
      <c r="U83" s="18">
        <v>45793</v>
      </c>
      <c r="V83" s="15" t="s">
        <v>826</v>
      </c>
      <c r="W83" s="15" t="s">
        <v>827</v>
      </c>
      <c r="X83" s="12" t="str">
        <f t="shared" ca="1" si="7"/>
        <v/>
      </c>
      <c r="Y83" s="19" t="str">
        <f t="shared" ca="1" si="8"/>
        <v>Expired</v>
      </c>
      <c r="Z83" s="15" t="s">
        <v>115</v>
      </c>
      <c r="AA83" s="15" t="s">
        <v>797</v>
      </c>
      <c r="AB83" s="20" t="s">
        <v>828</v>
      </c>
      <c r="AC83" s="15" t="s">
        <v>799</v>
      </c>
      <c r="AD83" s="15" t="s">
        <v>829</v>
      </c>
      <c r="AE83" s="18">
        <v>46269</v>
      </c>
      <c r="AF83" s="15" t="s">
        <v>830</v>
      </c>
      <c r="AG83" s="18">
        <v>46269</v>
      </c>
    </row>
    <row r="84" spans="1:33" ht="48" customHeight="1" x14ac:dyDescent="0.35">
      <c r="A84" s="3">
        <v>83</v>
      </c>
      <c r="B84" s="4" t="s">
        <v>831</v>
      </c>
      <c r="C84" s="3">
        <v>2026</v>
      </c>
      <c r="D84" s="5" t="s">
        <v>832</v>
      </c>
      <c r="E84" s="6" t="s">
        <v>833</v>
      </c>
      <c r="F84" s="7" t="s">
        <v>109</v>
      </c>
      <c r="G84" s="5" t="s">
        <v>363</v>
      </c>
      <c r="H84" s="3">
        <f t="shared" si="6"/>
        <v>3</v>
      </c>
      <c r="I84" s="7" t="s">
        <v>53</v>
      </c>
      <c r="J84" s="6" t="s">
        <v>115</v>
      </c>
      <c r="K84" s="6" t="s">
        <v>112</v>
      </c>
      <c r="L84" s="8"/>
      <c r="M84" s="5"/>
      <c r="N84" s="9"/>
      <c r="O84" s="9"/>
      <c r="P84" s="9"/>
      <c r="Q84" s="9"/>
      <c r="R84" s="9"/>
      <c r="S84" s="6" t="s">
        <v>834</v>
      </c>
      <c r="T84" s="9"/>
      <c r="U84" s="9"/>
      <c r="V84" s="6" t="s">
        <v>115</v>
      </c>
      <c r="W84" s="6" t="s">
        <v>115</v>
      </c>
      <c r="X84" s="3" t="str">
        <f t="shared" ca="1" si="7"/>
        <v/>
      </c>
      <c r="Y84" s="10" t="str">
        <f t="shared" ca="1" si="8"/>
        <v>Expired</v>
      </c>
      <c r="Z84" s="6" t="s">
        <v>115</v>
      </c>
      <c r="AA84" s="6" t="s">
        <v>40</v>
      </c>
      <c r="AB84" s="11" t="s">
        <v>835</v>
      </c>
      <c r="AC84" s="6" t="s">
        <v>27</v>
      </c>
      <c r="AD84" s="6" t="s">
        <v>836</v>
      </c>
      <c r="AE84" s="9">
        <v>46269</v>
      </c>
      <c r="AF84" s="6" t="s">
        <v>837</v>
      </c>
      <c r="AG84" s="9">
        <v>44208</v>
      </c>
    </row>
    <row r="85" spans="1:33" ht="132" customHeight="1" x14ac:dyDescent="0.35">
      <c r="A85" s="12">
        <v>84</v>
      </c>
      <c r="B85" s="13" t="s">
        <v>838</v>
      </c>
      <c r="C85" s="12">
        <v>2025</v>
      </c>
      <c r="D85" s="14" t="s">
        <v>66</v>
      </c>
      <c r="E85" s="15" t="s">
        <v>839</v>
      </c>
      <c r="F85" s="16" t="s">
        <v>52</v>
      </c>
      <c r="G85" s="14" t="s">
        <v>363</v>
      </c>
      <c r="H85" s="12">
        <f t="shared" si="6"/>
        <v>3</v>
      </c>
      <c r="I85" s="16" t="s">
        <v>53</v>
      </c>
      <c r="J85" s="15" t="s">
        <v>840</v>
      </c>
      <c r="K85" s="15" t="s">
        <v>382</v>
      </c>
      <c r="L85" s="17">
        <v>0</v>
      </c>
      <c r="M85" s="14" t="s">
        <v>66</v>
      </c>
      <c r="N85" s="18"/>
      <c r="O85" s="18"/>
      <c r="P85" s="18"/>
      <c r="Q85" s="18"/>
      <c r="R85" s="18"/>
      <c r="S85" s="15" t="s">
        <v>841</v>
      </c>
      <c r="T85" s="18">
        <v>45956</v>
      </c>
      <c r="U85" s="18">
        <v>45956</v>
      </c>
      <c r="V85" s="15" t="s">
        <v>411</v>
      </c>
      <c r="W85" s="15" t="s">
        <v>430</v>
      </c>
      <c r="X85" s="12" t="str">
        <f t="shared" ca="1" si="7"/>
        <v/>
      </c>
      <c r="Y85" s="19" t="str">
        <f t="shared" ca="1" si="8"/>
        <v>Expired</v>
      </c>
      <c r="Z85" s="15" t="s">
        <v>115</v>
      </c>
      <c r="AA85" s="15" t="s">
        <v>686</v>
      </c>
      <c r="AB85" s="20" t="s">
        <v>687</v>
      </c>
      <c r="AC85" s="15" t="s">
        <v>213</v>
      </c>
      <c r="AD85" s="15" t="s">
        <v>688</v>
      </c>
      <c r="AE85" s="18">
        <v>46269</v>
      </c>
      <c r="AF85" s="15" t="s">
        <v>842</v>
      </c>
      <c r="AG85" s="18">
        <v>46269</v>
      </c>
    </row>
    <row r="86" spans="1:33" ht="96" customHeight="1" x14ac:dyDescent="0.35">
      <c r="A86" s="3">
        <v>85</v>
      </c>
      <c r="B86" s="4" t="s">
        <v>843</v>
      </c>
      <c r="C86" s="3">
        <v>2025</v>
      </c>
      <c r="D86" s="5" t="s">
        <v>66</v>
      </c>
      <c r="E86" s="6" t="s">
        <v>844</v>
      </c>
      <c r="F86" s="7" t="s">
        <v>52</v>
      </c>
      <c r="G86" s="5" t="s">
        <v>363</v>
      </c>
      <c r="H86" s="3">
        <f t="shared" si="6"/>
        <v>3</v>
      </c>
      <c r="I86" s="7" t="s">
        <v>53</v>
      </c>
      <c r="J86" s="6" t="s">
        <v>845</v>
      </c>
      <c r="K86" s="6" t="s">
        <v>112</v>
      </c>
      <c r="L86" s="8"/>
      <c r="M86" s="5"/>
      <c r="N86" s="9"/>
      <c r="O86" s="9"/>
      <c r="P86" s="9"/>
      <c r="Q86" s="9"/>
      <c r="R86" s="9"/>
      <c r="S86" s="6" t="s">
        <v>846</v>
      </c>
      <c r="T86" s="9">
        <v>45874</v>
      </c>
      <c r="U86" s="9">
        <v>45874</v>
      </c>
      <c r="V86" s="6" t="s">
        <v>411</v>
      </c>
      <c r="W86" s="6" t="s">
        <v>847</v>
      </c>
      <c r="X86" s="3" t="str">
        <f t="shared" ca="1" si="7"/>
        <v/>
      </c>
      <c r="Y86" s="10" t="str">
        <f t="shared" ca="1" si="8"/>
        <v>Expired</v>
      </c>
      <c r="Z86" s="6" t="s">
        <v>115</v>
      </c>
      <c r="AA86" s="6" t="s">
        <v>797</v>
      </c>
      <c r="AB86" s="11" t="s">
        <v>848</v>
      </c>
      <c r="AC86" s="6" t="s">
        <v>799</v>
      </c>
      <c r="AD86" s="6" t="s">
        <v>849</v>
      </c>
      <c r="AE86" s="9">
        <v>46269</v>
      </c>
      <c r="AF86" s="6" t="s">
        <v>850</v>
      </c>
      <c r="AG86" s="9">
        <v>46269</v>
      </c>
    </row>
    <row r="87" spans="1:33" ht="108" customHeight="1" x14ac:dyDescent="0.35">
      <c r="A87" s="12">
        <v>86</v>
      </c>
      <c r="B87" s="13" t="s">
        <v>851</v>
      </c>
      <c r="C87" s="12">
        <v>2025</v>
      </c>
      <c r="D87" s="14" t="s">
        <v>852</v>
      </c>
      <c r="E87" s="15" t="s">
        <v>853</v>
      </c>
      <c r="F87" s="16" t="s">
        <v>52</v>
      </c>
      <c r="G87" s="14" t="s">
        <v>363</v>
      </c>
      <c r="H87" s="12">
        <f t="shared" si="6"/>
        <v>3</v>
      </c>
      <c r="I87" s="16" t="s">
        <v>53</v>
      </c>
      <c r="J87" s="15" t="s">
        <v>854</v>
      </c>
      <c r="K87" s="15" t="s">
        <v>112</v>
      </c>
      <c r="L87" s="17"/>
      <c r="M87" s="14"/>
      <c r="N87" s="18"/>
      <c r="O87" s="18"/>
      <c r="P87" s="18"/>
      <c r="Q87" s="18"/>
      <c r="R87" s="18"/>
      <c r="S87" s="15" t="s">
        <v>855</v>
      </c>
      <c r="T87" s="18">
        <v>45789</v>
      </c>
      <c r="U87" s="18">
        <v>45789</v>
      </c>
      <c r="V87" s="15" t="s">
        <v>464</v>
      </c>
      <c r="W87" s="15" t="s">
        <v>856</v>
      </c>
      <c r="X87" s="12" t="str">
        <f t="shared" ca="1" si="7"/>
        <v/>
      </c>
      <c r="Y87" s="19" t="str">
        <f t="shared" ca="1" si="8"/>
        <v>Expired</v>
      </c>
      <c r="Z87" s="15" t="s">
        <v>115</v>
      </c>
      <c r="AA87" s="15" t="s">
        <v>797</v>
      </c>
      <c r="AB87" s="20" t="s">
        <v>857</v>
      </c>
      <c r="AC87" s="15" t="s">
        <v>799</v>
      </c>
      <c r="AD87" s="15" t="s">
        <v>858</v>
      </c>
      <c r="AE87" s="18">
        <v>46269</v>
      </c>
      <c r="AF87" s="15" t="s">
        <v>859</v>
      </c>
      <c r="AG87" s="18">
        <v>46269</v>
      </c>
    </row>
    <row r="88" spans="1:33" ht="120" customHeight="1" x14ac:dyDescent="0.35">
      <c r="A88" s="3">
        <v>87</v>
      </c>
      <c r="B88" s="4" t="s">
        <v>860</v>
      </c>
      <c r="C88" s="3">
        <v>2025</v>
      </c>
      <c r="D88" s="5" t="s">
        <v>832</v>
      </c>
      <c r="E88" s="6" t="s">
        <v>861</v>
      </c>
      <c r="F88" s="7" t="s">
        <v>36</v>
      </c>
      <c r="G88" s="5" t="s">
        <v>363</v>
      </c>
      <c r="H88" s="3">
        <f t="shared" si="6"/>
        <v>3</v>
      </c>
      <c r="I88" s="7" t="s">
        <v>53</v>
      </c>
      <c r="J88" s="6" t="s">
        <v>862</v>
      </c>
      <c r="K88" s="6" t="s">
        <v>112</v>
      </c>
      <c r="L88" s="8"/>
      <c r="M88" s="5"/>
      <c r="N88" s="9"/>
      <c r="O88" s="9"/>
      <c r="P88" s="9"/>
      <c r="Q88" s="9"/>
      <c r="R88" s="9"/>
      <c r="S88" s="6" t="s">
        <v>584</v>
      </c>
      <c r="T88" s="9">
        <v>45980</v>
      </c>
      <c r="U88" s="9">
        <v>45981</v>
      </c>
      <c r="V88" s="6" t="s">
        <v>795</v>
      </c>
      <c r="W88" s="6" t="s">
        <v>115</v>
      </c>
      <c r="X88" s="3" t="str">
        <f t="shared" ca="1" si="7"/>
        <v/>
      </c>
      <c r="Y88" s="10" t="str">
        <f t="shared" ca="1" si="8"/>
        <v>Expired</v>
      </c>
      <c r="Z88" s="6" t="s">
        <v>115</v>
      </c>
      <c r="AA88" s="6" t="s">
        <v>797</v>
      </c>
      <c r="AB88" s="11" t="s">
        <v>863</v>
      </c>
      <c r="AC88" s="6" t="s">
        <v>799</v>
      </c>
      <c r="AD88" s="6" t="s">
        <v>864</v>
      </c>
      <c r="AE88" s="9">
        <v>46269</v>
      </c>
      <c r="AF88" s="6" t="s">
        <v>865</v>
      </c>
      <c r="AG88" s="9">
        <v>46269</v>
      </c>
    </row>
    <row r="89" spans="1:33" ht="36" customHeight="1" x14ac:dyDescent="0.35">
      <c r="A89" s="12">
        <v>88</v>
      </c>
      <c r="B89" s="13" t="s">
        <v>866</v>
      </c>
      <c r="C89" s="12">
        <v>2025</v>
      </c>
      <c r="D89" s="14" t="s">
        <v>832</v>
      </c>
      <c r="E89" s="15" t="s">
        <v>867</v>
      </c>
      <c r="F89" s="16" t="s">
        <v>36</v>
      </c>
      <c r="G89" s="14" t="s">
        <v>363</v>
      </c>
      <c r="H89" s="12">
        <f t="shared" si="6"/>
        <v>3</v>
      </c>
      <c r="I89" s="16" t="s">
        <v>53</v>
      </c>
      <c r="J89" s="15" t="s">
        <v>868</v>
      </c>
      <c r="K89" s="15" t="s">
        <v>869</v>
      </c>
      <c r="L89" s="17">
        <v>0</v>
      </c>
      <c r="M89" s="14" t="s">
        <v>66</v>
      </c>
      <c r="N89" s="18"/>
      <c r="O89" s="9">
        <v>45931</v>
      </c>
      <c r="P89" s="9">
        <v>45933</v>
      </c>
      <c r="Q89" s="18"/>
      <c r="R89" s="18"/>
      <c r="S89" s="15" t="s">
        <v>870</v>
      </c>
      <c r="T89" s="18">
        <v>45943</v>
      </c>
      <c r="U89" s="18">
        <v>45943</v>
      </c>
      <c r="V89" s="15" t="s">
        <v>871</v>
      </c>
      <c r="W89" s="15" t="s">
        <v>43</v>
      </c>
      <c r="X89" s="12">
        <f t="shared" ca="1" si="7"/>
        <v>-338</v>
      </c>
      <c r="Y89" s="19" t="str">
        <f t="shared" ca="1" si="8"/>
        <v>Expired</v>
      </c>
      <c r="Z89" s="15" t="s">
        <v>872</v>
      </c>
      <c r="AA89" s="15" t="s">
        <v>40</v>
      </c>
      <c r="AB89" s="20" t="s">
        <v>873</v>
      </c>
      <c r="AC89" s="15" t="s">
        <v>27</v>
      </c>
      <c r="AD89" s="15" t="s">
        <v>874</v>
      </c>
      <c r="AE89" s="18">
        <v>46269</v>
      </c>
      <c r="AF89" s="15" t="s">
        <v>875</v>
      </c>
      <c r="AG89" s="18">
        <v>45723</v>
      </c>
    </row>
    <row r="90" spans="1:33" ht="72" customHeight="1" x14ac:dyDescent="0.35">
      <c r="A90" s="3">
        <v>89</v>
      </c>
      <c r="B90" s="4" t="s">
        <v>876</v>
      </c>
      <c r="C90" s="3">
        <v>2025</v>
      </c>
      <c r="D90" s="5" t="s">
        <v>66</v>
      </c>
      <c r="E90" s="6" t="s">
        <v>877</v>
      </c>
      <c r="F90" s="7" t="s">
        <v>52</v>
      </c>
      <c r="G90" s="5" t="s">
        <v>363</v>
      </c>
      <c r="H90" s="3">
        <f t="shared" si="6"/>
        <v>3</v>
      </c>
      <c r="I90" s="7" t="s">
        <v>53</v>
      </c>
      <c r="J90" s="6" t="s">
        <v>878</v>
      </c>
      <c r="K90" s="6" t="s">
        <v>112</v>
      </c>
      <c r="L90" s="8"/>
      <c r="M90" s="5"/>
      <c r="N90" s="9"/>
      <c r="O90" s="9"/>
      <c r="P90" s="9"/>
      <c r="Q90" s="9"/>
      <c r="R90" s="9"/>
      <c r="S90" s="6" t="s">
        <v>825</v>
      </c>
      <c r="T90" s="9">
        <v>45792</v>
      </c>
      <c r="U90" s="9">
        <v>45793</v>
      </c>
      <c r="V90" s="6" t="s">
        <v>826</v>
      </c>
      <c r="W90" s="6" t="s">
        <v>827</v>
      </c>
      <c r="X90" s="3" t="str">
        <f t="shared" ca="1" si="7"/>
        <v/>
      </c>
      <c r="Y90" s="10" t="str">
        <f t="shared" ca="1" si="8"/>
        <v>Expired</v>
      </c>
      <c r="Z90" s="6" t="s">
        <v>115</v>
      </c>
      <c r="AA90" s="6" t="s">
        <v>797</v>
      </c>
      <c r="AB90" s="11" t="s">
        <v>879</v>
      </c>
      <c r="AC90" s="6" t="s">
        <v>799</v>
      </c>
      <c r="AD90" s="6" t="s">
        <v>880</v>
      </c>
      <c r="AE90" s="9">
        <v>46269</v>
      </c>
      <c r="AF90" s="6" t="s">
        <v>881</v>
      </c>
      <c r="AG90" s="9">
        <v>46269</v>
      </c>
    </row>
    <row r="91" spans="1:33" ht="72" customHeight="1" x14ac:dyDescent="0.35">
      <c r="A91" s="12">
        <v>90</v>
      </c>
      <c r="B91" s="13" t="s">
        <v>882</v>
      </c>
      <c r="C91" s="12">
        <v>2025</v>
      </c>
      <c r="D91" s="14" t="s">
        <v>66</v>
      </c>
      <c r="E91" s="15" t="s">
        <v>883</v>
      </c>
      <c r="F91" s="16" t="s">
        <v>52</v>
      </c>
      <c r="G91" s="14" t="s">
        <v>363</v>
      </c>
      <c r="H91" s="12">
        <f t="shared" si="6"/>
        <v>3</v>
      </c>
      <c r="I91" s="16" t="s">
        <v>53</v>
      </c>
      <c r="J91" s="15" t="s">
        <v>884</v>
      </c>
      <c r="K91" s="15" t="s">
        <v>112</v>
      </c>
      <c r="L91" s="17"/>
      <c r="M91" s="14"/>
      <c r="N91" s="18"/>
      <c r="O91" s="18"/>
      <c r="P91" s="18"/>
      <c r="Q91" s="18"/>
      <c r="R91" s="18"/>
      <c r="S91" s="15" t="s">
        <v>885</v>
      </c>
      <c r="T91" s="18">
        <v>45981</v>
      </c>
      <c r="U91" s="18">
        <v>45982</v>
      </c>
      <c r="V91" s="15" t="s">
        <v>886</v>
      </c>
      <c r="W91" s="15" t="s">
        <v>115</v>
      </c>
      <c r="X91" s="12" t="str">
        <f t="shared" ca="1" si="7"/>
        <v/>
      </c>
      <c r="Y91" s="19" t="str">
        <f t="shared" ca="1" si="8"/>
        <v>Expired</v>
      </c>
      <c r="Z91" s="15" t="s">
        <v>115</v>
      </c>
      <c r="AA91" s="15" t="s">
        <v>797</v>
      </c>
      <c r="AB91" s="20" t="s">
        <v>887</v>
      </c>
      <c r="AC91" s="15" t="s">
        <v>213</v>
      </c>
      <c r="AD91" s="15" t="s">
        <v>888</v>
      </c>
      <c r="AE91" s="18">
        <v>46269</v>
      </c>
      <c r="AF91" s="15" t="s">
        <v>889</v>
      </c>
      <c r="AG91" s="18">
        <v>46269</v>
      </c>
    </row>
    <row r="92" spans="1:33" ht="96" customHeight="1" x14ac:dyDescent="0.35">
      <c r="A92" s="3">
        <v>91</v>
      </c>
      <c r="B92" s="4" t="s">
        <v>890</v>
      </c>
      <c r="C92" s="3">
        <v>2025</v>
      </c>
      <c r="D92" s="5" t="s">
        <v>66</v>
      </c>
      <c r="E92" s="6" t="s">
        <v>891</v>
      </c>
      <c r="F92" s="7" t="s">
        <v>52</v>
      </c>
      <c r="G92" s="5" t="s">
        <v>363</v>
      </c>
      <c r="H92" s="3">
        <f t="shared" si="6"/>
        <v>3</v>
      </c>
      <c r="I92" s="7" t="s">
        <v>53</v>
      </c>
      <c r="J92" s="6" t="s">
        <v>892</v>
      </c>
      <c r="K92" s="6" t="s">
        <v>112</v>
      </c>
      <c r="L92" s="8"/>
      <c r="M92" s="5"/>
      <c r="N92" s="9"/>
      <c r="O92" s="9"/>
      <c r="P92" s="9"/>
      <c r="Q92" s="9"/>
      <c r="R92" s="9"/>
      <c r="S92" s="6" t="s">
        <v>885</v>
      </c>
      <c r="T92" s="9">
        <v>45981</v>
      </c>
      <c r="U92" s="9">
        <v>45982</v>
      </c>
      <c r="V92" s="6" t="s">
        <v>886</v>
      </c>
      <c r="W92" s="6" t="s">
        <v>115</v>
      </c>
      <c r="X92" s="3" t="str">
        <f t="shared" ca="1" si="7"/>
        <v/>
      </c>
      <c r="Y92" s="10" t="str">
        <f t="shared" ca="1" si="8"/>
        <v>Expired</v>
      </c>
      <c r="Z92" s="6" t="s">
        <v>115</v>
      </c>
      <c r="AA92" s="6" t="s">
        <v>797</v>
      </c>
      <c r="AB92" s="11" t="s">
        <v>887</v>
      </c>
      <c r="AC92" s="6" t="s">
        <v>213</v>
      </c>
      <c r="AD92" s="6" t="s">
        <v>888</v>
      </c>
      <c r="AE92" s="9">
        <v>46269</v>
      </c>
      <c r="AF92" s="6" t="s">
        <v>893</v>
      </c>
      <c r="AG92" s="9">
        <v>46269</v>
      </c>
    </row>
    <row r="93" spans="1:33" ht="72" customHeight="1" x14ac:dyDescent="0.35">
      <c r="A93" s="12">
        <v>92</v>
      </c>
      <c r="B93" s="13" t="s">
        <v>894</v>
      </c>
      <c r="C93" s="12">
        <v>2024</v>
      </c>
      <c r="D93" s="14" t="s">
        <v>66</v>
      </c>
      <c r="E93" s="15" t="s">
        <v>895</v>
      </c>
      <c r="F93" s="16" t="s">
        <v>52</v>
      </c>
      <c r="G93" s="14" t="s">
        <v>363</v>
      </c>
      <c r="H93" s="12">
        <f t="shared" si="6"/>
        <v>3</v>
      </c>
      <c r="I93" s="16" t="s">
        <v>53</v>
      </c>
      <c r="J93" s="15" t="s">
        <v>896</v>
      </c>
      <c r="K93" s="15" t="s">
        <v>112</v>
      </c>
      <c r="L93" s="17"/>
      <c r="M93" s="14"/>
      <c r="N93" s="18"/>
      <c r="O93" s="18"/>
      <c r="P93" s="18"/>
      <c r="Q93" s="18"/>
      <c r="R93" s="18"/>
      <c r="S93" s="15" t="s">
        <v>897</v>
      </c>
      <c r="T93" s="18">
        <v>45616</v>
      </c>
      <c r="U93" s="18">
        <v>45617</v>
      </c>
      <c r="V93" s="15" t="s">
        <v>886</v>
      </c>
      <c r="W93" s="15" t="s">
        <v>115</v>
      </c>
      <c r="X93" s="12" t="str">
        <f t="shared" ca="1" si="7"/>
        <v/>
      </c>
      <c r="Y93" s="19" t="str">
        <f t="shared" ca="1" si="8"/>
        <v>Expired</v>
      </c>
      <c r="Z93" s="15" t="s">
        <v>115</v>
      </c>
      <c r="AA93" s="15" t="s">
        <v>797</v>
      </c>
      <c r="AB93" s="20" t="s">
        <v>887</v>
      </c>
      <c r="AC93" s="15" t="s">
        <v>213</v>
      </c>
      <c r="AD93" s="15" t="s">
        <v>888</v>
      </c>
      <c r="AE93" s="18">
        <v>46269</v>
      </c>
      <c r="AF93" s="15" t="s">
        <v>898</v>
      </c>
      <c r="AG93" s="18">
        <v>46269</v>
      </c>
    </row>
    <row r="94" spans="1:33" ht="72" customHeight="1" x14ac:dyDescent="0.35">
      <c r="A94" s="3">
        <v>93</v>
      </c>
      <c r="B94" s="4" t="s">
        <v>899</v>
      </c>
      <c r="C94" s="3">
        <v>2025</v>
      </c>
      <c r="D94" s="5" t="s">
        <v>288</v>
      </c>
      <c r="E94" s="6" t="s">
        <v>900</v>
      </c>
      <c r="F94" s="7" t="s">
        <v>52</v>
      </c>
      <c r="G94" s="5" t="s">
        <v>363</v>
      </c>
      <c r="H94" s="3">
        <f t="shared" si="6"/>
        <v>3</v>
      </c>
      <c r="I94" s="7" t="s">
        <v>53</v>
      </c>
      <c r="J94" s="6" t="s">
        <v>901</v>
      </c>
      <c r="K94" s="6" t="s">
        <v>112</v>
      </c>
      <c r="L94" s="8"/>
      <c r="M94" s="5"/>
      <c r="N94" s="9"/>
      <c r="O94" s="9"/>
      <c r="P94" s="9"/>
      <c r="Q94" s="9"/>
      <c r="R94" s="9"/>
      <c r="S94" s="6" t="s">
        <v>902</v>
      </c>
      <c r="T94" s="9">
        <v>45799</v>
      </c>
      <c r="U94" s="9">
        <v>45799</v>
      </c>
      <c r="V94" s="6" t="s">
        <v>411</v>
      </c>
      <c r="W94" s="6" t="s">
        <v>115</v>
      </c>
      <c r="X94" s="3" t="str">
        <f t="shared" ca="1" si="7"/>
        <v/>
      </c>
      <c r="Y94" s="10" t="str">
        <f t="shared" ca="1" si="8"/>
        <v>Expired</v>
      </c>
      <c r="Z94" s="6" t="s">
        <v>115</v>
      </c>
      <c r="AA94" s="6" t="s">
        <v>797</v>
      </c>
      <c r="AB94" s="11" t="s">
        <v>903</v>
      </c>
      <c r="AC94" s="6" t="s">
        <v>799</v>
      </c>
      <c r="AD94" s="6" t="s">
        <v>904</v>
      </c>
      <c r="AE94" s="9">
        <v>46269</v>
      </c>
      <c r="AF94" s="6" t="s">
        <v>905</v>
      </c>
      <c r="AG94" s="9">
        <v>46269</v>
      </c>
    </row>
    <row r="95" spans="1:33" ht="48" customHeight="1" x14ac:dyDescent="0.35">
      <c r="A95" s="12">
        <v>94</v>
      </c>
      <c r="B95" s="13" t="s">
        <v>906</v>
      </c>
      <c r="C95" s="12">
        <v>2025</v>
      </c>
      <c r="D95" s="14" t="s">
        <v>907</v>
      </c>
      <c r="E95" s="15" t="s">
        <v>908</v>
      </c>
      <c r="F95" s="16" t="s">
        <v>52</v>
      </c>
      <c r="G95" s="14" t="s">
        <v>363</v>
      </c>
      <c r="H95" s="12">
        <f t="shared" si="6"/>
        <v>3</v>
      </c>
      <c r="I95" s="16" t="s">
        <v>53</v>
      </c>
      <c r="J95" s="15" t="s">
        <v>909</v>
      </c>
      <c r="K95" s="15" t="s">
        <v>112</v>
      </c>
      <c r="L95" s="17"/>
      <c r="M95" s="14"/>
      <c r="N95" s="18"/>
      <c r="O95" s="18"/>
      <c r="P95" s="18"/>
      <c r="Q95" s="18"/>
      <c r="R95" s="18"/>
      <c r="S95" s="15" t="s">
        <v>910</v>
      </c>
      <c r="T95" s="18">
        <v>46002</v>
      </c>
      <c r="U95" s="18">
        <v>46002</v>
      </c>
      <c r="V95" s="15" t="s">
        <v>911</v>
      </c>
      <c r="W95" s="15" t="s">
        <v>912</v>
      </c>
      <c r="X95" s="12" t="str">
        <f t="shared" ca="1" si="7"/>
        <v/>
      </c>
      <c r="Y95" s="19" t="str">
        <f t="shared" ca="1" si="8"/>
        <v>Expired</v>
      </c>
      <c r="Z95" s="15" t="s">
        <v>115</v>
      </c>
      <c r="AA95" s="15" t="s">
        <v>40</v>
      </c>
      <c r="AB95" s="20" t="s">
        <v>913</v>
      </c>
      <c r="AC95" s="15" t="s">
        <v>27</v>
      </c>
      <c r="AD95" s="15" t="s">
        <v>914</v>
      </c>
      <c r="AE95" s="18">
        <v>46269</v>
      </c>
      <c r="AF95" s="15" t="s">
        <v>915</v>
      </c>
      <c r="AG95" s="18">
        <v>45674</v>
      </c>
    </row>
    <row r="96" spans="1:33" ht="84" customHeight="1" x14ac:dyDescent="0.35">
      <c r="A96" s="3">
        <v>95</v>
      </c>
      <c r="B96" s="4" t="s">
        <v>916</v>
      </c>
      <c r="C96" s="3">
        <v>2025</v>
      </c>
      <c r="D96" s="5" t="s">
        <v>66</v>
      </c>
      <c r="E96" s="6" t="s">
        <v>917</v>
      </c>
      <c r="F96" s="7" t="s">
        <v>52</v>
      </c>
      <c r="G96" s="5" t="s">
        <v>363</v>
      </c>
      <c r="H96" s="3">
        <f t="shared" si="6"/>
        <v>3</v>
      </c>
      <c r="I96" s="7" t="s">
        <v>53</v>
      </c>
      <c r="J96" s="6" t="s">
        <v>918</v>
      </c>
      <c r="K96" s="6" t="s">
        <v>112</v>
      </c>
      <c r="L96" s="8"/>
      <c r="M96" s="5"/>
      <c r="N96" s="9"/>
      <c r="O96" s="9"/>
      <c r="P96" s="9"/>
      <c r="Q96" s="9"/>
      <c r="R96" s="9"/>
      <c r="S96" s="6" t="s">
        <v>483</v>
      </c>
      <c r="T96" s="9">
        <v>45778</v>
      </c>
      <c r="U96" s="9">
        <v>45782</v>
      </c>
      <c r="V96" s="6" t="s">
        <v>919</v>
      </c>
      <c r="W96" s="6" t="s">
        <v>920</v>
      </c>
      <c r="X96" s="3" t="str">
        <f t="shared" ca="1" si="7"/>
        <v/>
      </c>
      <c r="Y96" s="10" t="str">
        <f t="shared" ca="1" si="8"/>
        <v>Expired</v>
      </c>
      <c r="Z96" s="6" t="s">
        <v>115</v>
      </c>
      <c r="AA96" s="6" t="s">
        <v>797</v>
      </c>
      <c r="AB96" s="11" t="s">
        <v>921</v>
      </c>
      <c r="AC96" s="6" t="s">
        <v>799</v>
      </c>
      <c r="AD96" s="6" t="s">
        <v>922</v>
      </c>
      <c r="AE96" s="9">
        <v>46269</v>
      </c>
      <c r="AF96" s="6" t="s">
        <v>923</v>
      </c>
      <c r="AG96" s="9">
        <v>46269</v>
      </c>
    </row>
    <row r="97" spans="1:33" ht="72" customHeight="1" x14ac:dyDescent="0.35">
      <c r="A97" s="12">
        <v>96</v>
      </c>
      <c r="B97" s="13" t="s">
        <v>924</v>
      </c>
      <c r="C97" s="12">
        <v>2025</v>
      </c>
      <c r="D97" s="14" t="s">
        <v>66</v>
      </c>
      <c r="E97" s="15" t="s">
        <v>925</v>
      </c>
      <c r="F97" s="16" t="s">
        <v>52</v>
      </c>
      <c r="G97" s="14" t="s">
        <v>363</v>
      </c>
      <c r="H97" s="12">
        <f t="shared" si="6"/>
        <v>3</v>
      </c>
      <c r="I97" s="16" t="s">
        <v>53</v>
      </c>
      <c r="J97" s="15" t="s">
        <v>926</v>
      </c>
      <c r="K97" s="15" t="s">
        <v>112</v>
      </c>
      <c r="L97" s="17"/>
      <c r="M97" s="14"/>
      <c r="N97" s="18"/>
      <c r="O97" s="18"/>
      <c r="P97" s="18"/>
      <c r="Q97" s="18"/>
      <c r="R97" s="18"/>
      <c r="S97" s="15" t="s">
        <v>927</v>
      </c>
      <c r="T97" s="18">
        <v>45823</v>
      </c>
      <c r="U97" s="18">
        <v>45824</v>
      </c>
      <c r="V97" s="15" t="s">
        <v>621</v>
      </c>
      <c r="W97" s="15" t="s">
        <v>115</v>
      </c>
      <c r="X97" s="12" t="str">
        <f t="shared" ca="1" si="7"/>
        <v/>
      </c>
      <c r="Y97" s="19" t="str">
        <f t="shared" ca="1" si="8"/>
        <v>Expired</v>
      </c>
      <c r="Z97" s="15" t="s">
        <v>115</v>
      </c>
      <c r="AA97" s="15" t="s">
        <v>797</v>
      </c>
      <c r="AB97" s="20" t="s">
        <v>928</v>
      </c>
      <c r="AC97" s="15" t="s">
        <v>799</v>
      </c>
      <c r="AD97" s="15" t="s">
        <v>929</v>
      </c>
      <c r="AE97" s="18">
        <v>46269</v>
      </c>
      <c r="AF97" s="15" t="s">
        <v>930</v>
      </c>
      <c r="AG97" s="18">
        <v>46269</v>
      </c>
    </row>
    <row r="98" spans="1:33" ht="72" customHeight="1" x14ac:dyDescent="0.35">
      <c r="A98" s="3">
        <v>97</v>
      </c>
      <c r="B98" s="4" t="s">
        <v>931</v>
      </c>
      <c r="C98" s="3">
        <v>2025</v>
      </c>
      <c r="D98" s="5" t="s">
        <v>66</v>
      </c>
      <c r="E98" s="6" t="s">
        <v>932</v>
      </c>
      <c r="F98" s="7" t="s">
        <v>52</v>
      </c>
      <c r="G98" s="5" t="s">
        <v>363</v>
      </c>
      <c r="H98" s="3">
        <f t="shared" ref="H98:H104" si="9">IF($G98="High",1,IF($G98="Mediocre",2,3))</f>
        <v>3</v>
      </c>
      <c r="I98" s="7" t="s">
        <v>53</v>
      </c>
      <c r="J98" s="6" t="s">
        <v>933</v>
      </c>
      <c r="K98" s="6" t="s">
        <v>112</v>
      </c>
      <c r="L98" s="8"/>
      <c r="M98" s="5"/>
      <c r="N98" s="9"/>
      <c r="O98" s="9"/>
      <c r="P98" s="9"/>
      <c r="Q98" s="9"/>
      <c r="R98" s="9"/>
      <c r="S98" s="6" t="s">
        <v>934</v>
      </c>
      <c r="T98" s="9">
        <v>45822</v>
      </c>
      <c r="U98" s="9">
        <v>45823</v>
      </c>
      <c r="V98" s="6" t="s">
        <v>621</v>
      </c>
      <c r="W98" s="6" t="s">
        <v>115</v>
      </c>
      <c r="X98" s="3" t="str">
        <f t="shared" ref="X98:X104" ca="1" si="10">IF(O98="","",INT(O98)-TODAY())</f>
        <v/>
      </c>
      <c r="Y98" s="10" t="str">
        <f t="shared" ref="Y98:Y104" ca="1" si="11">IF($G98="Finished","Expired",IF(AND(O98&lt;&gt;"",INT(O98)&gt;=TODAY()),IF(INT(O98)-TODAY()&lt;=30,"Open - closing soon","Open"),IF(AND(T98&lt;&gt;"",U98&lt;&gt;"",INT(T98)&lt;=TODAY(),INT(U98)&gt;=TODAY()),"Event in progress",IF(AND(O98="",R98&lt;&gt;"",INT(R98)&gt;=TODAY()),"Registration due",IF(AND(O98="",U98&lt;&gt;"",INT(U98)&gt;=TODAY()),"Deadline not published",IF(AND(O98&lt;&gt;"",Q98&lt;&gt;"",INT(Q98)&gt;=TODAY()),"Camera-ready due",IF(AND(O98&lt;&gt;"",R98&lt;&gt;"",INT(R98)&gt;=TODAY()),"Registration due",IF(AND(U98&lt;&gt;"",INT(U98)&gt;=TODAY()),"Submissions closed - event ahead","Expired"))))))))</f>
        <v>Expired</v>
      </c>
      <c r="Z98" s="6" t="s">
        <v>115</v>
      </c>
      <c r="AA98" s="6" t="s">
        <v>797</v>
      </c>
      <c r="AB98" s="11" t="s">
        <v>935</v>
      </c>
      <c r="AC98" s="6" t="s">
        <v>799</v>
      </c>
      <c r="AD98" s="6" t="s">
        <v>936</v>
      </c>
      <c r="AE98" s="9">
        <v>46269</v>
      </c>
      <c r="AF98" s="6" t="s">
        <v>937</v>
      </c>
      <c r="AG98" s="9">
        <v>46269</v>
      </c>
    </row>
    <row r="99" spans="1:33" ht="72" customHeight="1" x14ac:dyDescent="0.35">
      <c r="A99" s="12">
        <v>98</v>
      </c>
      <c r="B99" s="13" t="s">
        <v>938</v>
      </c>
      <c r="C99" s="12">
        <v>2025</v>
      </c>
      <c r="D99" s="14" t="s">
        <v>66</v>
      </c>
      <c r="E99" s="15" t="s">
        <v>939</v>
      </c>
      <c r="F99" s="16" t="s">
        <v>52</v>
      </c>
      <c r="G99" s="14" t="s">
        <v>363</v>
      </c>
      <c r="H99" s="12">
        <f t="shared" si="9"/>
        <v>3</v>
      </c>
      <c r="I99" s="16" t="s">
        <v>53</v>
      </c>
      <c r="J99" s="15" t="s">
        <v>940</v>
      </c>
      <c r="K99" s="15" t="s">
        <v>112</v>
      </c>
      <c r="L99" s="17"/>
      <c r="M99" s="14"/>
      <c r="N99" s="18"/>
      <c r="O99" s="18"/>
      <c r="P99" s="18"/>
      <c r="Q99" s="18"/>
      <c r="R99" s="18"/>
      <c r="S99" s="15" t="s">
        <v>825</v>
      </c>
      <c r="T99" s="18">
        <v>45792</v>
      </c>
      <c r="U99" s="18">
        <v>45793</v>
      </c>
      <c r="V99" s="15" t="s">
        <v>826</v>
      </c>
      <c r="W99" s="15" t="s">
        <v>827</v>
      </c>
      <c r="X99" s="12" t="str">
        <f t="shared" ca="1" si="10"/>
        <v/>
      </c>
      <c r="Y99" s="19" t="str">
        <f t="shared" ca="1" si="11"/>
        <v>Expired</v>
      </c>
      <c r="Z99" s="15" t="s">
        <v>115</v>
      </c>
      <c r="AA99" s="15" t="s">
        <v>797</v>
      </c>
      <c r="AB99" s="20" t="s">
        <v>941</v>
      </c>
      <c r="AC99" s="15" t="s">
        <v>799</v>
      </c>
      <c r="AD99" s="15" t="s">
        <v>942</v>
      </c>
      <c r="AE99" s="18">
        <v>46269</v>
      </c>
      <c r="AF99" s="15" t="s">
        <v>943</v>
      </c>
      <c r="AG99" s="18">
        <v>46269</v>
      </c>
    </row>
    <row r="100" spans="1:33" ht="96" customHeight="1" x14ac:dyDescent="0.35">
      <c r="A100" s="3">
        <v>99</v>
      </c>
      <c r="B100" s="4" t="s">
        <v>944</v>
      </c>
      <c r="C100" s="3">
        <v>2026</v>
      </c>
      <c r="D100" s="5" t="s">
        <v>66</v>
      </c>
      <c r="E100" s="6" t="s">
        <v>945</v>
      </c>
      <c r="F100" s="7" t="s">
        <v>52</v>
      </c>
      <c r="G100" s="5" t="s">
        <v>363</v>
      </c>
      <c r="H100" s="3">
        <f t="shared" si="9"/>
        <v>3</v>
      </c>
      <c r="I100" s="7" t="s">
        <v>53</v>
      </c>
      <c r="J100" s="6" t="s">
        <v>946</v>
      </c>
      <c r="K100" s="6" t="s">
        <v>112</v>
      </c>
      <c r="L100" s="8"/>
      <c r="M100" s="5"/>
      <c r="N100" s="9"/>
      <c r="O100" s="9"/>
      <c r="P100" s="9"/>
      <c r="Q100" s="9"/>
      <c r="R100" s="9"/>
      <c r="S100" s="6" t="s">
        <v>947</v>
      </c>
      <c r="T100" s="9">
        <v>46203</v>
      </c>
      <c r="U100" s="9">
        <v>46203</v>
      </c>
      <c r="V100" s="6" t="s">
        <v>948</v>
      </c>
      <c r="W100" s="6" t="s">
        <v>115</v>
      </c>
      <c r="X100" s="3" t="str">
        <f t="shared" ca="1" si="10"/>
        <v/>
      </c>
      <c r="Y100" s="10" t="str">
        <f t="shared" ca="1" si="11"/>
        <v>Expired</v>
      </c>
      <c r="Z100" s="6" t="s">
        <v>115</v>
      </c>
      <c r="AA100" s="6" t="s">
        <v>797</v>
      </c>
      <c r="AB100" s="11" t="s">
        <v>949</v>
      </c>
      <c r="AC100" s="6" t="s">
        <v>799</v>
      </c>
      <c r="AD100" s="6" t="s">
        <v>950</v>
      </c>
      <c r="AE100" s="9">
        <v>46269</v>
      </c>
      <c r="AF100" s="6" t="s">
        <v>951</v>
      </c>
      <c r="AG100" s="9">
        <v>46269</v>
      </c>
    </row>
    <row r="101" spans="1:33" ht="96" customHeight="1" x14ac:dyDescent="0.35">
      <c r="A101" s="12">
        <v>100</v>
      </c>
      <c r="B101" s="13" t="s">
        <v>952</v>
      </c>
      <c r="C101" s="12">
        <v>2025</v>
      </c>
      <c r="D101" s="14" t="s">
        <v>66</v>
      </c>
      <c r="E101" s="15" t="s">
        <v>953</v>
      </c>
      <c r="F101" s="16" t="s">
        <v>52</v>
      </c>
      <c r="G101" s="14" t="s">
        <v>363</v>
      </c>
      <c r="H101" s="12">
        <f t="shared" si="9"/>
        <v>3</v>
      </c>
      <c r="I101" s="16" t="s">
        <v>53</v>
      </c>
      <c r="J101" s="15" t="s">
        <v>954</v>
      </c>
      <c r="K101" s="15" t="s">
        <v>112</v>
      </c>
      <c r="L101" s="17"/>
      <c r="M101" s="14"/>
      <c r="N101" s="18"/>
      <c r="O101" s="18"/>
      <c r="P101" s="18"/>
      <c r="Q101" s="18"/>
      <c r="R101" s="18"/>
      <c r="S101" s="15" t="s">
        <v>584</v>
      </c>
      <c r="T101" s="18">
        <v>45980</v>
      </c>
      <c r="U101" s="18">
        <v>45981</v>
      </c>
      <c r="V101" s="15" t="s">
        <v>795</v>
      </c>
      <c r="W101" s="15" t="s">
        <v>796</v>
      </c>
      <c r="X101" s="12" t="str">
        <f t="shared" ca="1" si="10"/>
        <v/>
      </c>
      <c r="Y101" s="19" t="str">
        <f t="shared" ca="1" si="11"/>
        <v>Expired</v>
      </c>
      <c r="Z101" s="15" t="s">
        <v>115</v>
      </c>
      <c r="AA101" s="15" t="s">
        <v>797</v>
      </c>
      <c r="AB101" s="20" t="s">
        <v>955</v>
      </c>
      <c r="AC101" s="15" t="s">
        <v>799</v>
      </c>
      <c r="AD101" s="15" t="s">
        <v>800</v>
      </c>
      <c r="AE101" s="18">
        <v>46269</v>
      </c>
      <c r="AF101" s="15" t="s">
        <v>956</v>
      </c>
      <c r="AG101" s="18">
        <v>46269</v>
      </c>
    </row>
    <row r="102" spans="1:33" ht="96" customHeight="1" x14ac:dyDescent="0.35">
      <c r="A102" s="3">
        <v>101</v>
      </c>
      <c r="B102" s="4" t="s">
        <v>957</v>
      </c>
      <c r="C102" s="3">
        <v>2025</v>
      </c>
      <c r="D102" s="5" t="s">
        <v>66</v>
      </c>
      <c r="E102" s="6" t="s">
        <v>958</v>
      </c>
      <c r="F102" s="7" t="s">
        <v>52</v>
      </c>
      <c r="G102" s="5" t="s">
        <v>363</v>
      </c>
      <c r="H102" s="3">
        <f t="shared" si="9"/>
        <v>3</v>
      </c>
      <c r="I102" s="7" t="s">
        <v>53</v>
      </c>
      <c r="J102" s="6" t="s">
        <v>959</v>
      </c>
      <c r="K102" s="6" t="s">
        <v>112</v>
      </c>
      <c r="L102" s="8"/>
      <c r="M102" s="5"/>
      <c r="N102" s="9"/>
      <c r="O102" s="9"/>
      <c r="P102" s="9"/>
      <c r="Q102" s="9"/>
      <c r="R102" s="9"/>
      <c r="S102" s="6" t="s">
        <v>960</v>
      </c>
      <c r="T102" s="9">
        <v>45817</v>
      </c>
      <c r="U102" s="9">
        <v>45819</v>
      </c>
      <c r="V102" s="6" t="s">
        <v>961</v>
      </c>
      <c r="W102" s="6" t="s">
        <v>962</v>
      </c>
      <c r="X102" s="3" t="str">
        <f t="shared" ca="1" si="10"/>
        <v/>
      </c>
      <c r="Y102" s="10" t="str">
        <f t="shared" ca="1" si="11"/>
        <v>Expired</v>
      </c>
      <c r="Z102" s="6" t="s">
        <v>115</v>
      </c>
      <c r="AA102" s="6" t="s">
        <v>797</v>
      </c>
      <c r="AB102" s="11" t="s">
        <v>963</v>
      </c>
      <c r="AC102" s="6" t="s">
        <v>799</v>
      </c>
      <c r="AD102" s="6" t="s">
        <v>964</v>
      </c>
      <c r="AE102" s="9">
        <v>46269</v>
      </c>
      <c r="AF102" s="6" t="s">
        <v>965</v>
      </c>
      <c r="AG102" s="9">
        <v>46269</v>
      </c>
    </row>
    <row r="103" spans="1:33" ht="120" customHeight="1" x14ac:dyDescent="0.35">
      <c r="A103" s="12">
        <v>102</v>
      </c>
      <c r="B103" s="13" t="s">
        <v>966</v>
      </c>
      <c r="C103" s="12">
        <v>2025</v>
      </c>
      <c r="D103" s="14" t="s">
        <v>66</v>
      </c>
      <c r="E103" s="15" t="s">
        <v>967</v>
      </c>
      <c r="F103" s="16" t="s">
        <v>52</v>
      </c>
      <c r="G103" s="14" t="s">
        <v>363</v>
      </c>
      <c r="H103" s="12">
        <f t="shared" si="9"/>
        <v>3</v>
      </c>
      <c r="I103" s="16" t="s">
        <v>53</v>
      </c>
      <c r="J103" s="15" t="s">
        <v>968</v>
      </c>
      <c r="K103" s="15" t="s">
        <v>112</v>
      </c>
      <c r="L103" s="17"/>
      <c r="M103" s="14"/>
      <c r="N103" s="18"/>
      <c r="O103" s="18"/>
      <c r="P103" s="18"/>
      <c r="Q103" s="18"/>
      <c r="R103" s="18"/>
      <c r="S103" s="15" t="s">
        <v>584</v>
      </c>
      <c r="T103" s="18">
        <v>45980</v>
      </c>
      <c r="U103" s="18">
        <v>45981</v>
      </c>
      <c r="V103" s="15" t="s">
        <v>795</v>
      </c>
      <c r="W103" s="15" t="s">
        <v>796</v>
      </c>
      <c r="X103" s="12" t="str">
        <f t="shared" ca="1" si="10"/>
        <v/>
      </c>
      <c r="Y103" s="19" t="str">
        <f t="shared" ca="1" si="11"/>
        <v>Expired</v>
      </c>
      <c r="Z103" s="15" t="s">
        <v>115</v>
      </c>
      <c r="AA103" s="15" t="s">
        <v>797</v>
      </c>
      <c r="AB103" s="20" t="s">
        <v>969</v>
      </c>
      <c r="AC103" s="15" t="s">
        <v>799</v>
      </c>
      <c r="AD103" s="15" t="s">
        <v>800</v>
      </c>
      <c r="AE103" s="18">
        <v>46269</v>
      </c>
      <c r="AF103" s="15" t="s">
        <v>970</v>
      </c>
      <c r="AG103" s="18">
        <v>46269</v>
      </c>
    </row>
    <row r="104" spans="1:33" ht="84" customHeight="1" x14ac:dyDescent="0.35">
      <c r="A104" s="3">
        <v>103</v>
      </c>
      <c r="B104" s="4" t="s">
        <v>971</v>
      </c>
      <c r="C104" s="3">
        <v>2025</v>
      </c>
      <c r="D104" s="5" t="s">
        <v>66</v>
      </c>
      <c r="E104" s="6" t="s">
        <v>972</v>
      </c>
      <c r="F104" s="7" t="s">
        <v>52</v>
      </c>
      <c r="G104" s="5" t="s">
        <v>363</v>
      </c>
      <c r="H104" s="3">
        <f t="shared" si="9"/>
        <v>3</v>
      </c>
      <c r="I104" s="7" t="s">
        <v>53</v>
      </c>
      <c r="J104" s="6" t="s">
        <v>973</v>
      </c>
      <c r="K104" s="6" t="s">
        <v>112</v>
      </c>
      <c r="L104" s="8"/>
      <c r="M104" s="5"/>
      <c r="N104" s="9"/>
      <c r="O104" s="9"/>
      <c r="P104" s="9"/>
      <c r="Q104" s="9"/>
      <c r="R104" s="9"/>
      <c r="S104" s="6" t="s">
        <v>974</v>
      </c>
      <c r="T104" s="9">
        <v>45790</v>
      </c>
      <c r="U104" s="9">
        <v>45791</v>
      </c>
      <c r="V104" s="6" t="s">
        <v>411</v>
      </c>
      <c r="W104" s="6" t="s">
        <v>975</v>
      </c>
      <c r="X104" s="3" t="str">
        <f t="shared" ca="1" si="10"/>
        <v/>
      </c>
      <c r="Y104" s="10" t="str">
        <f t="shared" ca="1" si="11"/>
        <v>Expired</v>
      </c>
      <c r="Z104" s="6" t="s">
        <v>115</v>
      </c>
      <c r="AA104" s="6" t="s">
        <v>797</v>
      </c>
      <c r="AB104" s="11" t="s">
        <v>976</v>
      </c>
      <c r="AC104" s="6" t="s">
        <v>799</v>
      </c>
      <c r="AD104" s="6" t="s">
        <v>977</v>
      </c>
      <c r="AE104" s="9">
        <v>46269</v>
      </c>
      <c r="AF104" s="6" t="s">
        <v>978</v>
      </c>
      <c r="AG104" s="9">
        <v>46269</v>
      </c>
    </row>
  </sheetData>
  <autoFilter ref="A1:AG104" xr:uid="{00000000-0009-0000-0000-000000000000}"/>
  <conditionalFormatting sqref="G2:G104">
    <cfRule type="expression" dxfId="22" priority="1" stopIfTrue="1">
      <formula>EXACT($G2,"High")</formula>
    </cfRule>
    <cfRule type="expression" dxfId="21" priority="2" stopIfTrue="1">
      <formula>EXACT($G2,"Mediocre")</formula>
    </cfRule>
    <cfRule type="expression" dxfId="20" priority="3" stopIfTrue="1">
      <formula>EXACT($G2,"Finished")</formula>
    </cfRule>
  </conditionalFormatting>
  <conditionalFormatting sqref="X2:X104">
    <cfRule type="expression" dxfId="19" priority="12" stopIfTrue="1">
      <formula>AND(ISNUMBER($X2),$X2&lt;0)</formula>
    </cfRule>
    <cfRule type="expression" dxfId="18" priority="13" stopIfTrue="1">
      <formula>AND(ISNUMBER($X2),$X2&gt;=0)</formula>
    </cfRule>
  </conditionalFormatting>
  <conditionalFormatting sqref="Y2:Y104">
    <cfRule type="expression" dxfId="17" priority="4" stopIfTrue="1">
      <formula>EXACT($Y2,"Open")</formula>
    </cfRule>
    <cfRule type="expression" dxfId="16" priority="5" stopIfTrue="1">
      <formula>EXACT($Y2,"Open - closing soon")</formula>
    </cfRule>
    <cfRule type="expression" dxfId="15" priority="6" stopIfTrue="1">
      <formula>EXACT($Y2,"Event in progress")</formula>
    </cfRule>
    <cfRule type="expression" dxfId="14" priority="7" stopIfTrue="1">
      <formula>EXACT($Y2,"Camera-ready due")</formula>
    </cfRule>
    <cfRule type="expression" dxfId="13" priority="8" stopIfTrue="1">
      <formula>EXACT($Y2,"Registration due")</formula>
    </cfRule>
    <cfRule type="expression" dxfId="12" priority="9" stopIfTrue="1">
      <formula>EXACT($Y2,"Deadline not published")</formula>
    </cfRule>
    <cfRule type="expression" dxfId="11" priority="10" stopIfTrue="1">
      <formula>EXACT($Y2,"Submissions closed - event ahead")</formula>
    </cfRule>
    <cfRule type="expression" dxfId="10" priority="11" stopIfTrue="1">
      <formula>EXACT($Y2,"Expired")</formula>
    </cfRule>
  </conditionalFormatting>
  <dataValidations count="1">
    <dataValidation type="list" showInputMessage="1" showErrorMessage="1" errorTitle="Not a valid relevance" error="Choose High, Mediocre or Finished from the drop-down list." promptTitle="Relevance" prompt="Pick one:_x000a_High - call for papers is open_x000a_Mediocre - future edition confirmed, submission closed_x000a_Finished - no future edition found_x000a__x000a_Priority and Submission Status update automatically." sqref="G2:G104" xr:uid="{00000000-0002-0000-0000-000000000000}">
      <formula1>"High,Mediocre,Finished"</formula1>
    </dataValidation>
  </dataValidations>
  <hyperlinks>
    <hyperlink ref="AB2" r:id="rId1" xr:uid="{00000000-0004-0000-0000-000000000000}"/>
    <hyperlink ref="AB3" r:id="rId2" xr:uid="{00000000-0004-0000-0000-000001000000}"/>
    <hyperlink ref="AB4" r:id="rId3" xr:uid="{00000000-0004-0000-0000-000002000000}"/>
    <hyperlink ref="AB5" r:id="rId4" xr:uid="{00000000-0004-0000-0000-000003000000}"/>
    <hyperlink ref="AB6" r:id="rId5" xr:uid="{00000000-0004-0000-0000-000004000000}"/>
    <hyperlink ref="AB7" r:id="rId6" xr:uid="{00000000-0004-0000-0000-000005000000}"/>
    <hyperlink ref="AB8" r:id="rId7" xr:uid="{00000000-0004-0000-0000-000006000000}"/>
    <hyperlink ref="AB9" r:id="rId8" xr:uid="{00000000-0004-0000-0000-000007000000}"/>
    <hyperlink ref="AB10" r:id="rId9" xr:uid="{00000000-0004-0000-0000-000008000000}"/>
    <hyperlink ref="AB11" r:id="rId10" xr:uid="{00000000-0004-0000-0000-000009000000}"/>
    <hyperlink ref="AB12" r:id="rId11" xr:uid="{00000000-0004-0000-0000-00000A000000}"/>
    <hyperlink ref="AB13" r:id="rId12" xr:uid="{00000000-0004-0000-0000-00000B000000}"/>
    <hyperlink ref="AB14" r:id="rId13" xr:uid="{00000000-0004-0000-0000-00000C000000}"/>
    <hyperlink ref="AB15" r:id="rId14" xr:uid="{00000000-0004-0000-0000-00000D000000}"/>
    <hyperlink ref="AB16" r:id="rId15" xr:uid="{00000000-0004-0000-0000-00000E000000}"/>
    <hyperlink ref="AB17" r:id="rId16" xr:uid="{00000000-0004-0000-0000-00000F000000}"/>
    <hyperlink ref="AB18" r:id="rId17" xr:uid="{00000000-0004-0000-0000-000010000000}"/>
    <hyperlink ref="AB19" r:id="rId18" xr:uid="{00000000-0004-0000-0000-000011000000}"/>
    <hyperlink ref="AB20" r:id="rId19" xr:uid="{00000000-0004-0000-0000-000012000000}"/>
    <hyperlink ref="AB21" r:id="rId20" xr:uid="{00000000-0004-0000-0000-000013000000}"/>
    <hyperlink ref="AB22" r:id="rId21" xr:uid="{00000000-0004-0000-0000-000014000000}"/>
    <hyperlink ref="AB23" r:id="rId22" xr:uid="{00000000-0004-0000-0000-000015000000}"/>
    <hyperlink ref="AB24" r:id="rId23" xr:uid="{00000000-0004-0000-0000-000016000000}"/>
    <hyperlink ref="AB25" r:id="rId24" xr:uid="{00000000-0004-0000-0000-000017000000}"/>
    <hyperlink ref="AB26" r:id="rId25" xr:uid="{00000000-0004-0000-0000-000018000000}"/>
    <hyperlink ref="AB27" r:id="rId26" xr:uid="{00000000-0004-0000-0000-000019000000}"/>
    <hyperlink ref="AB28" r:id="rId27" xr:uid="{00000000-0004-0000-0000-00001A000000}"/>
    <hyperlink ref="AB29" r:id="rId28" xr:uid="{00000000-0004-0000-0000-00001B000000}"/>
    <hyperlink ref="AB30" r:id="rId29" xr:uid="{00000000-0004-0000-0000-00001C000000}"/>
    <hyperlink ref="AB31" r:id="rId30" xr:uid="{00000000-0004-0000-0000-00001D000000}"/>
    <hyperlink ref="AB32" r:id="rId31" xr:uid="{00000000-0004-0000-0000-00001E000000}"/>
    <hyperlink ref="AB33" r:id="rId32" xr:uid="{00000000-0004-0000-0000-00001F000000}"/>
    <hyperlink ref="AB34" r:id="rId33" xr:uid="{00000000-0004-0000-0000-000020000000}"/>
    <hyperlink ref="AB35" r:id="rId34" xr:uid="{00000000-0004-0000-0000-000021000000}"/>
    <hyperlink ref="AB36" r:id="rId35" xr:uid="{00000000-0004-0000-0000-000022000000}"/>
    <hyperlink ref="AB37" r:id="rId36" xr:uid="{00000000-0004-0000-0000-000023000000}"/>
    <hyperlink ref="AB38" r:id="rId37" xr:uid="{00000000-0004-0000-0000-000024000000}"/>
    <hyperlink ref="AB39" r:id="rId38" xr:uid="{00000000-0004-0000-0000-000025000000}"/>
    <hyperlink ref="AB40" r:id="rId39" xr:uid="{00000000-0004-0000-0000-000026000000}"/>
    <hyperlink ref="AB41" r:id="rId40" xr:uid="{00000000-0004-0000-0000-000027000000}"/>
    <hyperlink ref="AB42" r:id="rId41" xr:uid="{00000000-0004-0000-0000-000028000000}"/>
    <hyperlink ref="AB43" r:id="rId42" xr:uid="{00000000-0004-0000-0000-000029000000}"/>
    <hyperlink ref="AB44" r:id="rId43" xr:uid="{00000000-0004-0000-0000-00002A000000}"/>
    <hyperlink ref="AB45" r:id="rId44" xr:uid="{00000000-0004-0000-0000-00002B000000}"/>
    <hyperlink ref="AB46" r:id="rId45" xr:uid="{00000000-0004-0000-0000-00002C000000}"/>
    <hyperlink ref="AB47" r:id="rId46" xr:uid="{00000000-0004-0000-0000-00002D000000}"/>
    <hyperlink ref="AB48" r:id="rId47" xr:uid="{00000000-0004-0000-0000-00002E000000}"/>
    <hyperlink ref="AB49" r:id="rId48" xr:uid="{00000000-0004-0000-0000-00002F000000}"/>
    <hyperlink ref="AB50" r:id="rId49" xr:uid="{00000000-0004-0000-0000-000030000000}"/>
    <hyperlink ref="AB51" r:id="rId50" xr:uid="{00000000-0004-0000-0000-000031000000}"/>
    <hyperlink ref="AB52" r:id="rId51" xr:uid="{00000000-0004-0000-0000-000032000000}"/>
    <hyperlink ref="AB53" r:id="rId52" xr:uid="{00000000-0004-0000-0000-000033000000}"/>
    <hyperlink ref="AB54" r:id="rId53" xr:uid="{00000000-0004-0000-0000-000034000000}"/>
    <hyperlink ref="AB55" r:id="rId54" xr:uid="{00000000-0004-0000-0000-000035000000}"/>
    <hyperlink ref="AB56" r:id="rId55" xr:uid="{00000000-0004-0000-0000-000036000000}"/>
    <hyperlink ref="AB57" r:id="rId56" xr:uid="{00000000-0004-0000-0000-000037000000}"/>
    <hyperlink ref="AB58" r:id="rId57" xr:uid="{00000000-0004-0000-0000-000038000000}"/>
    <hyperlink ref="AB59" r:id="rId58" xr:uid="{00000000-0004-0000-0000-000039000000}"/>
    <hyperlink ref="AB60" r:id="rId59" xr:uid="{00000000-0004-0000-0000-00003A000000}"/>
    <hyperlink ref="AB61" r:id="rId60" xr:uid="{00000000-0004-0000-0000-00003B000000}"/>
    <hyperlink ref="AB62" r:id="rId61" xr:uid="{00000000-0004-0000-0000-00003C000000}"/>
    <hyperlink ref="AB63" r:id="rId62" xr:uid="{00000000-0004-0000-0000-00003D000000}"/>
    <hyperlink ref="AB64" r:id="rId63" xr:uid="{00000000-0004-0000-0000-00003E000000}"/>
    <hyperlink ref="AB65" r:id="rId64" xr:uid="{00000000-0004-0000-0000-00003F000000}"/>
    <hyperlink ref="AB66" r:id="rId65" xr:uid="{00000000-0004-0000-0000-000040000000}"/>
    <hyperlink ref="AB67" r:id="rId66" xr:uid="{00000000-0004-0000-0000-000041000000}"/>
    <hyperlink ref="AB68" r:id="rId67" xr:uid="{00000000-0004-0000-0000-000042000000}"/>
    <hyperlink ref="AB69" r:id="rId68" xr:uid="{00000000-0004-0000-0000-000043000000}"/>
    <hyperlink ref="AB70" r:id="rId69" xr:uid="{00000000-0004-0000-0000-000044000000}"/>
    <hyperlink ref="AB71" r:id="rId70" xr:uid="{00000000-0004-0000-0000-000045000000}"/>
    <hyperlink ref="AB72" r:id="rId71" xr:uid="{00000000-0004-0000-0000-000046000000}"/>
    <hyperlink ref="AB73" r:id="rId72" xr:uid="{00000000-0004-0000-0000-000047000000}"/>
    <hyperlink ref="AB74" r:id="rId73" xr:uid="{00000000-0004-0000-0000-000048000000}"/>
    <hyperlink ref="AB75" r:id="rId74" xr:uid="{00000000-0004-0000-0000-000049000000}"/>
    <hyperlink ref="AB76" r:id="rId75" xr:uid="{00000000-0004-0000-0000-00004A000000}"/>
    <hyperlink ref="AB77" r:id="rId76" xr:uid="{00000000-0004-0000-0000-00004B000000}"/>
    <hyperlink ref="AB78" r:id="rId77" xr:uid="{00000000-0004-0000-0000-00004C000000}"/>
    <hyperlink ref="AB79" r:id="rId78" xr:uid="{00000000-0004-0000-0000-00004D000000}"/>
    <hyperlink ref="AB80" r:id="rId79" xr:uid="{00000000-0004-0000-0000-00004E000000}"/>
    <hyperlink ref="AB81" r:id="rId80" xr:uid="{00000000-0004-0000-0000-00004F000000}"/>
    <hyperlink ref="AB82" r:id="rId81" xr:uid="{00000000-0004-0000-0000-000050000000}"/>
    <hyperlink ref="AB83" r:id="rId82" xr:uid="{00000000-0004-0000-0000-000051000000}"/>
    <hyperlink ref="AB84" r:id="rId83" xr:uid="{00000000-0004-0000-0000-000052000000}"/>
    <hyperlink ref="AB85" r:id="rId84" xr:uid="{00000000-0004-0000-0000-000053000000}"/>
    <hyperlink ref="AB86" r:id="rId85" xr:uid="{00000000-0004-0000-0000-000054000000}"/>
    <hyperlink ref="AB87" r:id="rId86" xr:uid="{00000000-0004-0000-0000-000055000000}"/>
    <hyperlink ref="AB88" r:id="rId87" xr:uid="{00000000-0004-0000-0000-000056000000}"/>
    <hyperlink ref="AB89" r:id="rId88" xr:uid="{00000000-0004-0000-0000-000057000000}"/>
    <hyperlink ref="AB90" r:id="rId89" xr:uid="{00000000-0004-0000-0000-000058000000}"/>
    <hyperlink ref="AB91" r:id="rId90" xr:uid="{00000000-0004-0000-0000-000059000000}"/>
    <hyperlink ref="AB92" r:id="rId91" xr:uid="{00000000-0004-0000-0000-00005A000000}"/>
    <hyperlink ref="AB93" r:id="rId92" xr:uid="{00000000-0004-0000-0000-00005B000000}"/>
    <hyperlink ref="AB94" r:id="rId93" xr:uid="{00000000-0004-0000-0000-00005C000000}"/>
    <hyperlink ref="AB95" r:id="rId94" xr:uid="{00000000-0004-0000-0000-00005D000000}"/>
    <hyperlink ref="AB96" r:id="rId95" xr:uid="{00000000-0004-0000-0000-00005E000000}"/>
    <hyperlink ref="AB97" r:id="rId96" xr:uid="{00000000-0004-0000-0000-00005F000000}"/>
    <hyperlink ref="AB98" r:id="rId97" xr:uid="{00000000-0004-0000-0000-000060000000}"/>
    <hyperlink ref="AB99" r:id="rId98" xr:uid="{00000000-0004-0000-0000-000061000000}"/>
    <hyperlink ref="AB100" r:id="rId99" xr:uid="{00000000-0004-0000-0000-000062000000}"/>
    <hyperlink ref="AB101" r:id="rId100" xr:uid="{00000000-0004-0000-0000-000063000000}"/>
    <hyperlink ref="AB102" r:id="rId101" xr:uid="{00000000-0004-0000-0000-000064000000}"/>
    <hyperlink ref="AB103" r:id="rId102" xr:uid="{00000000-0004-0000-0000-000065000000}"/>
    <hyperlink ref="AB104" r:id="rId103" xr:uid="{00000000-0004-0000-0000-000066000000}"/>
  </hyperlinks>
  <pageMargins left="0.75" right="0.75" top="1" bottom="1" header="0.5" footer="0.5"/>
  <pageSetup fitToHeight="0" orientation="landscape"/>
  <legacyDrawing r:id="rId1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F35"/>
  <sheetViews>
    <sheetView showGridLines="0" workbookViewId="0"/>
  </sheetViews>
  <sheetFormatPr defaultRowHeight="14.5" x14ac:dyDescent="0.35"/>
  <cols>
    <col min="1" max="1" width="3" customWidth="1"/>
    <col min="2" max="2" width="38" customWidth="1"/>
    <col min="3" max="4" width="12" customWidth="1"/>
    <col min="5" max="5" width="36" customWidth="1"/>
    <col min="6" max="6" width="12" customWidth="1"/>
  </cols>
  <sheetData>
    <row r="2" spans="2:6" ht="18" customHeight="1" x14ac:dyDescent="0.4">
      <c r="B2" s="21" t="s">
        <v>979</v>
      </c>
    </row>
    <row r="3" spans="2:6" ht="15.5" customHeight="1" x14ac:dyDescent="0.35">
      <c r="B3" s="22" t="s">
        <v>980</v>
      </c>
    </row>
    <row r="4" spans="2:6" ht="15.5" customHeight="1" x14ac:dyDescent="0.35"/>
    <row r="5" spans="2:6" ht="15.5" customHeight="1" x14ac:dyDescent="0.35">
      <c r="B5" s="23" t="s">
        <v>981</v>
      </c>
      <c r="C5" s="23" t="s">
        <v>982</v>
      </c>
      <c r="D5" s="23" t="s">
        <v>983</v>
      </c>
      <c r="E5" s="23" t="s">
        <v>984</v>
      </c>
      <c r="F5" s="23" t="s">
        <v>982</v>
      </c>
    </row>
    <row r="6" spans="2:6" ht="15.5" customHeight="1" x14ac:dyDescent="0.35">
      <c r="B6" s="24" t="s">
        <v>37</v>
      </c>
      <c r="C6" s="25">
        <f>COUNTIF(Conferences!$G$2:$G$104,"High")</f>
        <v>15</v>
      </c>
      <c r="D6" s="26">
        <f>IF($C$9=0,0,C6/$C$9)</f>
        <v>0.14563106796116504</v>
      </c>
      <c r="E6" s="24" t="s">
        <v>36</v>
      </c>
      <c r="F6" s="25">
        <f>COUNTIF(Conferences!$F$2:$F$104,"Conference")</f>
        <v>34</v>
      </c>
    </row>
    <row r="7" spans="2:6" ht="15.5" customHeight="1" x14ac:dyDescent="0.35">
      <c r="B7" s="24" t="s">
        <v>219</v>
      </c>
      <c r="C7" s="25">
        <f>COUNTIF(Conferences!$G$2:$G$104,"Mediocre")</f>
        <v>13</v>
      </c>
      <c r="D7" s="26">
        <f>IF($C$9=0,0,C7/$C$9)</f>
        <v>0.12621359223300971</v>
      </c>
      <c r="E7" s="24" t="s">
        <v>52</v>
      </c>
      <c r="F7" s="25">
        <f>COUNTIF(Conferences!$F$2:$F$104,"Workshop")</f>
        <v>51</v>
      </c>
    </row>
    <row r="8" spans="2:6" ht="15.5" customHeight="1" x14ac:dyDescent="0.35">
      <c r="B8" s="24" t="s">
        <v>363</v>
      </c>
      <c r="C8" s="25">
        <f>COUNTIF(Conferences!$G$2:$G$104,"Finished")</f>
        <v>75</v>
      </c>
      <c r="D8" s="26">
        <f>IF($C$9=0,0,C8/$C$9)</f>
        <v>0.72815533980582525</v>
      </c>
      <c r="E8" s="24" t="s">
        <v>109</v>
      </c>
      <c r="F8" s="25">
        <f>COUNTIF(Conferences!$F$2:$F$104,"Conference + Workshop")</f>
        <v>16</v>
      </c>
    </row>
    <row r="9" spans="2:6" ht="15.5" customHeight="1" x14ac:dyDescent="0.35">
      <c r="B9" s="27" t="s">
        <v>985</v>
      </c>
      <c r="C9" s="25">
        <f>COUNTA(Conferences!$B$2:$B$104)</f>
        <v>103</v>
      </c>
      <c r="E9" s="24" t="s">
        <v>573</v>
      </c>
      <c r="F9" s="25">
        <f>COUNTIF(Conferences!$F$2:$F$104,"Journal")</f>
        <v>1</v>
      </c>
    </row>
    <row r="10" spans="2:6" ht="15.5" customHeight="1" x14ac:dyDescent="0.35">
      <c r="E10" s="24" t="s">
        <v>407</v>
      </c>
      <c r="F10" s="25">
        <f>COUNTIF(Conferences!$F$2:$F$104,"Not tagged")</f>
        <v>1</v>
      </c>
    </row>
    <row r="11" spans="2:6" ht="15.5" customHeight="1" x14ac:dyDescent="0.35">
      <c r="B11" s="23" t="s">
        <v>986</v>
      </c>
      <c r="C11" s="23" t="s">
        <v>982</v>
      </c>
    </row>
    <row r="12" spans="2:6" ht="15.5" customHeight="1" x14ac:dyDescent="0.35">
      <c r="B12" s="24" t="s">
        <v>987</v>
      </c>
      <c r="C12" s="25">
        <f ca="1">COUNTIF(Conferences!$Y$2:$Y$104,"Open")</f>
        <v>6</v>
      </c>
      <c r="E12" s="23" t="s">
        <v>988</v>
      </c>
      <c r="F12" s="23" t="s">
        <v>989</v>
      </c>
    </row>
    <row r="13" spans="2:6" ht="15.5" customHeight="1" x14ac:dyDescent="0.35">
      <c r="B13" s="24" t="s">
        <v>990</v>
      </c>
      <c r="C13" s="25">
        <f ca="1">COUNTIF(Conferences!$Y$2:$Y$104,"Open - closing soon")</f>
        <v>9</v>
      </c>
      <c r="E13" s="24" t="s">
        <v>991</v>
      </c>
      <c r="F13" s="25">
        <f>COUNTIF(Conferences!$K$2:$K$104,"Free*")</f>
        <v>39</v>
      </c>
    </row>
    <row r="14" spans="2:6" ht="15.5" customHeight="1" x14ac:dyDescent="0.35">
      <c r="B14" s="24" t="s">
        <v>992</v>
      </c>
      <c r="C14" s="25">
        <f ca="1">COUNTIF(Conferences!$Y$2:$Y$104,"Event in progress")</f>
        <v>1</v>
      </c>
      <c r="E14" s="24" t="s">
        <v>993</v>
      </c>
      <c r="F14" s="25">
        <f>COUNTIF(Conferences!$K$2:$K$104,"Not published*")</f>
        <v>48</v>
      </c>
    </row>
    <row r="15" spans="2:6" ht="15.5" customHeight="1" x14ac:dyDescent="0.35">
      <c r="B15" s="24" t="s">
        <v>994</v>
      </c>
      <c r="C15" s="25">
        <f ca="1">COUNTIF(Conferences!$Y$2:$Y$104,"Camera-ready due")</f>
        <v>5</v>
      </c>
      <c r="E15" s="24" t="s">
        <v>995</v>
      </c>
      <c r="F15" s="25">
        <f>COUNTA(Conferences!$B$2:$B$104)-F13-F14</f>
        <v>16</v>
      </c>
    </row>
    <row r="16" spans="2:6" ht="15.5" customHeight="1" x14ac:dyDescent="0.35">
      <c r="B16" s="24" t="s">
        <v>996</v>
      </c>
      <c r="C16" s="25">
        <f ca="1">COUNTIF(Conferences!$Y$2:$Y$104,"Registration due")</f>
        <v>2</v>
      </c>
      <c r="E16" s="24" t="s">
        <v>997</v>
      </c>
      <c r="F16" s="25">
        <f>COUNTIF(Conferences!$M$2:$M$104,"EUR")</f>
        <v>10</v>
      </c>
    </row>
    <row r="17" spans="2:6" ht="15.5" customHeight="1" x14ac:dyDescent="0.35">
      <c r="B17" s="24" t="s">
        <v>998</v>
      </c>
      <c r="C17" s="25">
        <f ca="1">COUNTIF(Conferences!$Y$2:$Y$104,"Deadline not published")</f>
        <v>1</v>
      </c>
      <c r="E17" s="24" t="s">
        <v>999</v>
      </c>
      <c r="F17" s="25">
        <f>COUNTIF(Conferences!$M$2:$M$104,"UAH")</f>
        <v>4</v>
      </c>
    </row>
    <row r="18" spans="2:6" ht="15.5" customHeight="1" x14ac:dyDescent="0.35">
      <c r="B18" s="24" t="s">
        <v>1000</v>
      </c>
      <c r="C18" s="25">
        <f ca="1">COUNTIF(Conferences!$Y$2:$Y$104,"Submissions closed - event ahead")</f>
        <v>4</v>
      </c>
      <c r="E18" s="24" t="s">
        <v>1001</v>
      </c>
      <c r="F18" s="28">
        <f>SUMPRODUCT(MAX((Conferences!$M$2:$M$104="EUR")*Conferences!$L$2:$L$104))</f>
        <v>600</v>
      </c>
    </row>
    <row r="19" spans="2:6" ht="15.5" customHeight="1" x14ac:dyDescent="0.35">
      <c r="B19" s="24" t="s">
        <v>1002</v>
      </c>
      <c r="C19" s="25">
        <f ca="1">COUNTIF(Conferences!$Y$2:$Y$104,"Expired")</f>
        <v>75</v>
      </c>
      <c r="E19" s="24" t="s">
        <v>1003</v>
      </c>
      <c r="F19" s="28">
        <f>SUMPRODUCT(MAX((Conferences!$M$2:$M$104="UAH")*Conferences!$L$2:$L$104))</f>
        <v>900</v>
      </c>
    </row>
    <row r="20" spans="2:6" ht="15.5" customHeight="1" x14ac:dyDescent="0.35">
      <c r="B20" s="29" t="s">
        <v>1004</v>
      </c>
      <c r="C20" s="25">
        <f ca="1">COUNTIF(Conferences!$Y$2:$Y$104,"Open")+COUNTIF(Conferences!$Y$2:$Y$104,"Open - closing soon")</f>
        <v>15</v>
      </c>
    </row>
    <row r="21" spans="2:6" ht="15.5" customHeight="1" x14ac:dyDescent="0.35">
      <c r="B21" s="24" t="s">
        <v>1005</v>
      </c>
      <c r="C21" s="25">
        <f ca="1">COUNTIFS(Conferences!$O$2:$O$104,"&gt;="&amp;TODAY(),Conferences!$O$2:$O$104,"&lt;="&amp;TODAY()+30)</f>
        <v>9</v>
      </c>
      <c r="E21" s="23" t="s">
        <v>1006</v>
      </c>
      <c r="F21" s="23" t="s">
        <v>1007</v>
      </c>
    </row>
    <row r="22" spans="2:6" ht="15.5" customHeight="1" x14ac:dyDescent="0.35">
      <c r="E22" s="24" t="s">
        <v>1008</v>
      </c>
      <c r="F22" s="25">
        <f>COUNT(Conferences!$N$2:$N$104)</f>
        <v>9</v>
      </c>
    </row>
    <row r="23" spans="2:6" ht="15.5" customHeight="1" x14ac:dyDescent="0.35">
      <c r="B23" s="23" t="s">
        <v>1009</v>
      </c>
      <c r="C23" s="23" t="s">
        <v>982</v>
      </c>
      <c r="E23" s="24" t="s">
        <v>15</v>
      </c>
      <c r="F23" s="25">
        <f>COUNT(Conferences!$P$2:$P$104)</f>
        <v>65</v>
      </c>
    </row>
    <row r="24" spans="2:6" ht="15.5" customHeight="1" x14ac:dyDescent="0.35">
      <c r="B24" s="24" t="s">
        <v>38</v>
      </c>
      <c r="C24" s="25">
        <f>COUNTIF(Conferences!$I$2:$I$104,"Academic Journal")</f>
        <v>4</v>
      </c>
      <c r="E24" s="24" t="s">
        <v>1010</v>
      </c>
      <c r="F24" s="25">
        <f>COUNT(Conferences!$Q$2:$Q$104)</f>
        <v>52</v>
      </c>
    </row>
    <row r="25" spans="2:6" ht="15.5" customHeight="1" x14ac:dyDescent="0.35">
      <c r="B25" s="24" t="s">
        <v>701</v>
      </c>
      <c r="C25" s="25">
        <f>COUNTIF(Conferences!$I$2:$I$104,"ACL Anthology")</f>
        <v>1</v>
      </c>
      <c r="E25" s="24" t="s">
        <v>1011</v>
      </c>
      <c r="F25" s="25">
        <f>COUNT(Conferences!$R$2:$R$104)</f>
        <v>37</v>
      </c>
    </row>
    <row r="26" spans="2:6" ht="15.5" customHeight="1" x14ac:dyDescent="0.35">
      <c r="B26" s="24" t="s">
        <v>125</v>
      </c>
      <c r="C26" s="25">
        <f>COUNTIF(Conferences!$I$2:$I$104,"ACM Digital Library")</f>
        <v>1</v>
      </c>
      <c r="E26" s="24" t="s">
        <v>1012</v>
      </c>
      <c r="F26" s="25">
        <f>SUMPRODUCT((Conferences!$V$2:$V$104&lt;&gt;"")*(Conferences!$V$2:$V$104&lt;&gt;"Not stated")*(Conferences!$V$2:$V$104&lt;&gt;"Not verified"))</f>
        <v>97</v>
      </c>
    </row>
    <row r="27" spans="2:6" ht="15.5" customHeight="1" x14ac:dyDescent="0.35">
      <c r="B27" s="24" t="s">
        <v>53</v>
      </c>
      <c r="C27" s="25">
        <f>COUNTIF(Conferences!$I$2:$I$104,"CEUR.org")</f>
        <v>65</v>
      </c>
      <c r="E27" s="24" t="s">
        <v>1013</v>
      </c>
      <c r="F27" s="25">
        <f>SUMPRODUCT((Conferences!$Z$2:$Z$104&lt;&gt;"")*(Conferences!$Z$2:$Z$104&lt;&gt;"Not stated")*(Conferences!$Z$2:$Z$104&lt;&gt;"Not verified"))</f>
        <v>45</v>
      </c>
    </row>
    <row r="28" spans="2:6" ht="15.5" customHeight="1" x14ac:dyDescent="0.35">
      <c r="B28" s="24" t="s">
        <v>373</v>
      </c>
      <c r="C28" s="25">
        <f>COUNTIF(Conferences!$I$2:$I$104,"Elsevier")</f>
        <v>1</v>
      </c>
      <c r="E28" s="24" t="s">
        <v>1014</v>
      </c>
      <c r="F28" s="25">
        <f>SUMPRODUCT((Conferences!$AA$2:$AA$104&lt;&gt;"")*(Conferences!$AA$2:$AA$104&lt;&gt;"Not stated")*(Conferences!$AA$2:$AA$104&lt;&gt;"Not verified"))</f>
        <v>103</v>
      </c>
    </row>
    <row r="29" spans="2:6" ht="15.5" customHeight="1" x14ac:dyDescent="0.35">
      <c r="B29" s="24" t="s">
        <v>147</v>
      </c>
      <c r="C29" s="25">
        <f>COUNTIF(Conferences!$I$2:$I$104,"IEEE.org")</f>
        <v>13</v>
      </c>
      <c r="E29" s="24" t="s">
        <v>29</v>
      </c>
      <c r="F29" s="25">
        <f>SUMPRODUCT((Conferences!$AD$2:$AD$104&lt;&gt;"")*(Conferences!$AD$2:$AD$104&lt;&gt;"Not stated")*(Conferences!$AD$2:$AD$104&lt;&gt;"Not verified"))</f>
        <v>103</v>
      </c>
    </row>
    <row r="30" spans="2:6" ht="15.5" customHeight="1" x14ac:dyDescent="0.35">
      <c r="B30" s="24" t="s">
        <v>460</v>
      </c>
      <c r="C30" s="25">
        <f>COUNTIF(Conferences!$I$2:$I$104,"IOP Publishing")</f>
        <v>2</v>
      </c>
    </row>
    <row r="31" spans="2:6" ht="15.5" customHeight="1" x14ac:dyDescent="0.35">
      <c r="B31" s="24" t="s">
        <v>110</v>
      </c>
      <c r="C31" s="25">
        <f>COUNTIF(Conferences!$I$2:$I$104,"Springer.org")</f>
        <v>10</v>
      </c>
      <c r="E31" s="23" t="s">
        <v>1015</v>
      </c>
      <c r="F31" s="23" t="s">
        <v>982</v>
      </c>
    </row>
    <row r="32" spans="2:6" ht="15.5" customHeight="1" x14ac:dyDescent="0.35">
      <c r="B32" s="24" t="s">
        <v>389</v>
      </c>
      <c r="C32" s="25">
        <f>COUNTIF(Conferences!$I$2:$I$104,"Not specified")</f>
        <v>4</v>
      </c>
      <c r="E32" s="24" t="s">
        <v>1016</v>
      </c>
      <c r="F32" s="25">
        <f>COUNTIF(Conferences!$C$2:$C$104,2024)</f>
        <v>9</v>
      </c>
    </row>
    <row r="33" spans="5:6" ht="15.5" customHeight="1" x14ac:dyDescent="0.35">
      <c r="E33" s="24" t="s">
        <v>1017</v>
      </c>
      <c r="F33" s="25">
        <f>COUNTIF(Conferences!$C$2:$C$104,2025)</f>
        <v>44</v>
      </c>
    </row>
    <row r="34" spans="5:6" ht="15.5" customHeight="1" x14ac:dyDescent="0.35">
      <c r="E34" s="24" t="s">
        <v>1018</v>
      </c>
      <c r="F34" s="25">
        <f>COUNTIF(Conferences!$C$2:$C$104,2026)</f>
        <v>43</v>
      </c>
    </row>
    <row r="35" spans="5:6" ht="15.5" customHeight="1" x14ac:dyDescent="0.35">
      <c r="E35" s="24" t="s">
        <v>1019</v>
      </c>
      <c r="F35" s="25">
        <f>COUNTIF(Conferences!$C$2:$C$104,2027)</f>
        <v>7</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N33"/>
  <sheetViews>
    <sheetView showGridLines="0" workbookViewId="0">
      <pane xSplit="1" ySplit="5" topLeftCell="B6" activePane="bottomRight" state="frozen"/>
      <selection pane="topRight"/>
      <selection pane="bottomLeft"/>
      <selection pane="bottomRight"/>
    </sheetView>
  </sheetViews>
  <sheetFormatPr defaultRowHeight="14.5" x14ac:dyDescent="0.35"/>
  <cols>
    <col min="1" max="1" width="2.453125" customWidth="1"/>
    <col min="2" max="2" width="5" customWidth="1"/>
    <col min="3" max="3" width="16" customWidth="1"/>
    <col min="4" max="4" width="6.453125" customWidth="1"/>
    <col min="5" max="5" width="38" customWidth="1"/>
    <col min="6" max="6" width="11" customWidth="1"/>
    <col min="7" max="7" width="28" customWidth="1"/>
    <col min="8" max="10" width="11.453125" customWidth="1"/>
    <col min="11" max="11" width="22" customWidth="1"/>
    <col min="12" max="12" width="28" customWidth="1"/>
    <col min="13" max="13" width="10.453125" customWidth="1"/>
    <col min="14" max="14" width="19" customWidth="1"/>
  </cols>
  <sheetData>
    <row r="2" spans="2:14" ht="18" customHeight="1" x14ac:dyDescent="0.4">
      <c r="B2" s="21" t="s">
        <v>1020</v>
      </c>
    </row>
    <row r="3" spans="2:14" x14ac:dyDescent="0.35">
      <c r="B3" s="22" t="s">
        <v>1021</v>
      </c>
    </row>
    <row r="5" spans="2:14" ht="30" customHeight="1" x14ac:dyDescent="0.35">
      <c r="B5" s="1" t="s">
        <v>0</v>
      </c>
      <c r="C5" s="1" t="s">
        <v>1</v>
      </c>
      <c r="D5" s="1" t="s">
        <v>2</v>
      </c>
      <c r="E5" s="1" t="s">
        <v>4</v>
      </c>
      <c r="F5" s="1" t="s">
        <v>6</v>
      </c>
      <c r="G5" s="1" t="s">
        <v>10</v>
      </c>
      <c r="H5" s="1" t="s">
        <v>14</v>
      </c>
      <c r="I5" s="1" t="s">
        <v>16</v>
      </c>
      <c r="J5" s="1" t="s">
        <v>17</v>
      </c>
      <c r="K5" s="1" t="s">
        <v>18</v>
      </c>
      <c r="L5" s="1" t="s">
        <v>21</v>
      </c>
      <c r="M5" s="1" t="s">
        <v>23</v>
      </c>
      <c r="N5" s="1" t="s">
        <v>24</v>
      </c>
    </row>
    <row r="6" spans="2:14" ht="60" customHeight="1" x14ac:dyDescent="0.35">
      <c r="B6" s="3">
        <f>IF(Conferences!A2="","",Conferences!A2)</f>
        <v>1</v>
      </c>
      <c r="C6" s="4" t="str">
        <f>IF(Conferences!B2="","",Conferences!B2)</f>
        <v>CSAM</v>
      </c>
      <c r="D6" s="3">
        <f>IF(Conferences!C2="","",Conferences!C2)</f>
        <v>2026</v>
      </c>
      <c r="E6" s="6" t="str">
        <f>IF(Conferences!E2="","",Conferences!E2)</f>
        <v>XI International Scientific Conference “Computer Science and Applied Mathematics”</v>
      </c>
      <c r="F6" s="5" t="str">
        <f>IF(Conferences!G2="","",Conferences!G2)</f>
        <v>High</v>
      </c>
      <c r="G6" s="6" t="str">
        <f>IF(Conferences!K2="","",Conferences!K2)</f>
        <v>Not published on the site</v>
      </c>
      <c r="H6" s="9">
        <f>IF(Conferences!O2="","",Conferences!O2)</f>
        <v>46280</v>
      </c>
      <c r="I6" s="9">
        <f>IF(Conferences!Q2="","",Conferences!Q2)</f>
        <v>46305</v>
      </c>
      <c r="J6" s="9" t="str">
        <f>IF(Conferences!R2="","",Conferences!R2)</f>
        <v/>
      </c>
      <c r="K6" s="6" t="str">
        <f>IF(Conferences!S2="","",Conferences!S2)</f>
        <v>07–11 Oct 2026</v>
      </c>
      <c r="L6" s="6" t="str">
        <f>IF(Conferences!V2="","",Conferences!V2)</f>
        <v>Al-Farabi Kazakh National University &amp; Institute of Information and Computational Technologies, Al-Farabi Ave 71, Almaty, Kazakhstan</v>
      </c>
      <c r="M6" s="3">
        <f ca="1">IF(Conferences!X2="","",Conferences!X2)</f>
        <v>11</v>
      </c>
      <c r="N6" s="10" t="str">
        <f ca="1">IF(Conferences!Y2="","",Conferences!Y2)</f>
        <v>Open - closing soon</v>
      </c>
    </row>
    <row r="7" spans="2:14" ht="48" customHeight="1" x14ac:dyDescent="0.35">
      <c r="B7" s="12">
        <f>IF(Conferences!A3="","",Conferences!A3)</f>
        <v>2</v>
      </c>
      <c r="C7" s="13" t="str">
        <f>IF(Conferences!B3="","",Conferences!B3)</f>
        <v>AISTDS</v>
      </c>
      <c r="D7" s="12">
        <f>IF(Conferences!C3="","",Conferences!C3)</f>
        <v>2026</v>
      </c>
      <c r="E7" s="15" t="str">
        <f>IF(Conferences!E3="","",Conferences!E3)</f>
        <v>Applied Information Systems and Technologies in the Digital Society</v>
      </c>
      <c r="F7" s="14" t="str">
        <f>IF(Conferences!G3="","",Conferences!G3)</f>
        <v>High</v>
      </c>
      <c r="G7" s="15" t="str">
        <f>IF(Conferences!K3="","",Conferences!K3)</f>
        <v>500 UAH registration fee (covers participation, publication, programme and the electronic proceedings)</v>
      </c>
      <c r="H7" s="18">
        <f>IF(Conferences!O3="","",Conferences!O3)</f>
        <v>46292</v>
      </c>
      <c r="I7" s="18" t="str">
        <f>IF(Conferences!Q3="","",Conferences!Q3)</f>
        <v/>
      </c>
      <c r="J7" s="18">
        <f>IF(Conferences!R3="","",Conferences!R3)</f>
        <v>46292</v>
      </c>
      <c r="K7" s="15" t="str">
        <f>IF(Conferences!S3="","",Conferences!S3)</f>
        <v>01 Oct 2026, 10:00</v>
      </c>
      <c r="L7" s="15" t="str">
        <f>IF(Conferences!V3="","",Conferences!V3)</f>
        <v>Department of Applied Information Systems, Faculty of Information Technology, Taras Shevchenko National University of Kyiv, 24 Bohdan Hawrylyshyn Str, 4th floor, room 401, Kyiv, Ukraine</v>
      </c>
      <c r="M7" s="12">
        <f ca="1">IF(Conferences!X3="","",Conferences!X3)</f>
        <v>23</v>
      </c>
      <c r="N7" s="19" t="str">
        <f ca="1">IF(Conferences!Y3="","",Conferences!Y3)</f>
        <v>Open - closing soon</v>
      </c>
    </row>
    <row r="8" spans="2:14" ht="48" customHeight="1" x14ac:dyDescent="0.35">
      <c r="B8" s="3">
        <f>IF(Conferences!A4="","",Conferences!A4)</f>
        <v>3</v>
      </c>
      <c r="C8" s="4" t="str">
        <f>IF(Conferences!B4="","",Conferences!B4)</f>
        <v>ATRIC</v>
      </c>
      <c r="D8" s="3">
        <f>IF(Conferences!C4="","",Conferences!C4)</f>
        <v>2026</v>
      </c>
      <c r="E8" s="6" t="str">
        <f>IF(Conferences!E4="","",Conferences!E4)</f>
        <v>International Conference on Advanced Trends in Radioelectronics and Infocommunications</v>
      </c>
      <c r="F8" s="5" t="str">
        <f>IF(Conferences!G4="","",Conferences!G4)</f>
        <v>High</v>
      </c>
      <c r="G8" s="6" t="str">
        <f>IF(Conferences!K4="","",Conferences!K4)</f>
        <v>Free — "The conference is free of organizational fees" (accommodation and meals at participants' own cost)</v>
      </c>
      <c r="H8" s="9">
        <f>IF(Conferences!O4="","",Conferences!O4)</f>
        <v>46295</v>
      </c>
      <c r="I8" s="9" t="str">
        <f>IF(Conferences!Q4="","",Conferences!Q4)</f>
        <v/>
      </c>
      <c r="J8" s="9">
        <f>IF(Conferences!R4="","",Conferences!R4)</f>
        <v>46295</v>
      </c>
      <c r="K8" s="6" t="str">
        <f>IF(Conferences!S4="","",Conferences!S4)</f>
        <v>15–17 Oct 2026</v>
      </c>
      <c r="L8" s="6" t="str">
        <f>IF(Conferences!V4="","",Conferences!V4)</f>
        <v>Lviv Polytechnic National University, S. Bandera Str., building 12, Lviv 79013, Ukraine (organising committee: Department of Software and Hardware Systems of Infocommunications, Professorska Str. 2, Lviv 79013)</v>
      </c>
      <c r="M8" s="3">
        <f ca="1">IF(Conferences!X4="","",Conferences!X4)</f>
        <v>26</v>
      </c>
      <c r="N8" s="10" t="str">
        <f ca="1">IF(Conferences!Y4="","",Conferences!Y4)</f>
        <v>Open - closing soon</v>
      </c>
    </row>
    <row r="9" spans="2:14" ht="36" customHeight="1" x14ac:dyDescent="0.35">
      <c r="B9" s="12">
        <f>IF(Conferences!A5="","",Conferences!A5)</f>
        <v>4</v>
      </c>
      <c r="C9" s="13" t="str">
        <f>IF(Conferences!B5="","",Conferences!B5)</f>
        <v>CITI</v>
      </c>
      <c r="D9" s="12">
        <f>IF(Conferences!C5="","",Conferences!C5)</f>
        <v>2026</v>
      </c>
      <c r="E9" s="15" t="str">
        <f>IF(Conferences!E5="","",Conferences!E5)</f>
        <v>The 4th International Conference on “Computer Information Technologies in Industry 4.0”</v>
      </c>
      <c r="F9" s="14" t="str">
        <f>IF(Conferences!G5="","",Conferences!G5)</f>
        <v>High</v>
      </c>
      <c r="G9" s="15" t="str">
        <f>IF(Conferences!K5="","",Conferences!K5)</f>
        <v>Free — "Participation and publication are free of charge!"</v>
      </c>
      <c r="H9" s="18">
        <f>IF(Conferences!O5="","",Conferences!O5)</f>
        <v>46295</v>
      </c>
      <c r="I9" s="18">
        <f>IF(Conferences!Q5="","",Conferences!Q5)</f>
        <v>46325</v>
      </c>
      <c r="J9" s="18" t="str">
        <f>IF(Conferences!R5="","",Conferences!R5)</f>
        <v/>
      </c>
      <c r="K9" s="15" t="str">
        <f>IF(Conferences!S5="","",Conferences!S5)</f>
        <v>04–06 Nov 2026</v>
      </c>
      <c r="L9" s="15" t="str">
        <f>IF(Conferences!V5="","",Conferences!V5)</f>
        <v>Ternopil Ivan Puluj National Technical University, Ternopil, Ukraine (hybrid, jointly with Warsaw, Poland)</v>
      </c>
      <c r="M9" s="12">
        <f ca="1">IF(Conferences!X5="","",Conferences!X5)</f>
        <v>26</v>
      </c>
      <c r="N9" s="19" t="str">
        <f ca="1">IF(Conferences!Y5="","",Conferences!Y5)</f>
        <v>Open - closing soon</v>
      </c>
    </row>
    <row r="10" spans="2:14" ht="36" customHeight="1" x14ac:dyDescent="0.35">
      <c r="B10" s="3">
        <f>IF(Conferences!A6="","",Conferences!A6)</f>
        <v>5</v>
      </c>
      <c r="C10" s="4" t="str">
        <f>IF(Conferences!B6="","",Conferences!B6)</f>
        <v>BAITmp</v>
      </c>
      <c r="D10" s="3">
        <f>IF(Conferences!C6="","",Conferences!C6)</f>
        <v>2026</v>
      </c>
      <c r="E10" s="6" t="str">
        <f>IF(Conferences!E6="","",Conferences!E6)</f>
        <v>The 3rd International Workshop on Bioinformatics and Applied Information Technologies for Medical Purpose</v>
      </c>
      <c r="F10" s="5" t="str">
        <f>IF(Conferences!G6="","",Conferences!G6)</f>
        <v>High</v>
      </c>
      <c r="G10" s="6" t="str">
        <f>IF(Conferences!K6="","",Conferences!K6)</f>
        <v>Free — "Participate for FREE ₴0"</v>
      </c>
      <c r="H10" s="9">
        <f>IF(Conferences!O6="","",Conferences!O6)</f>
        <v>46296</v>
      </c>
      <c r="I10" s="9">
        <f>IF(Conferences!Q6="","",Conferences!Q6)</f>
        <v>46334</v>
      </c>
      <c r="J10" s="9" t="str">
        <f>IF(Conferences!R6="","",Conferences!R6)</f>
        <v/>
      </c>
      <c r="K10" s="6" t="str">
        <f>IF(Conferences!S6="","",Conferences!S6)</f>
        <v>11–13 Nov 2026</v>
      </c>
      <c r="L10" s="6" t="str">
        <f>IF(Conferences!V6="","",Conferences!V6)</f>
        <v>Mohammed VI Polytechnic University, Benguerir, Morocco &amp; Ternopil Ivan Puluj NTU, Ukraine</v>
      </c>
      <c r="M10" s="3">
        <f ca="1">IF(Conferences!X6="","",Conferences!X6)</f>
        <v>27</v>
      </c>
      <c r="N10" s="10" t="str">
        <f ca="1">IF(Conferences!Y6="","",Conferences!Y6)</f>
        <v>Open - closing soon</v>
      </c>
    </row>
    <row r="11" spans="2:14" ht="36" customHeight="1" x14ac:dyDescent="0.35">
      <c r="B11" s="12">
        <f>IF(Conferences!A7="","",Conferences!A7)</f>
        <v>6</v>
      </c>
      <c r="C11" s="13" t="str">
        <f>IF(Conferences!B7="","",Conferences!B7)</f>
        <v>ICTM</v>
      </c>
      <c r="D11" s="12">
        <f>IF(Conferences!C7="","",Conferences!C7)</f>
        <v>2026</v>
      </c>
      <c r="E11" s="15" t="str">
        <f>IF(Conferences!E7="","",Conferences!E7)</f>
        <v>Integrated Computer Technologies in Mechanical Engineering – Synergetic Engineering</v>
      </c>
      <c r="F11" s="14" t="str">
        <f>IF(Conferences!G7="","",Conferences!G7)</f>
        <v>High</v>
      </c>
      <c r="G11" s="15" t="str">
        <f>IF(Conferences!K7="","",Conferences!K7)</f>
        <v>Not published</v>
      </c>
      <c r="H11" s="18">
        <f>IF(Conferences!O7="","",Conferences!O7)</f>
        <v>46296</v>
      </c>
      <c r="I11" s="18" t="str">
        <f>IF(Conferences!Q7="","",Conferences!Q7)</f>
        <v/>
      </c>
      <c r="J11" s="18" t="str">
        <f>IF(Conferences!R7="","",Conferences!R7)</f>
        <v/>
      </c>
      <c r="K11" s="15" t="str">
        <f>IF(Conferences!S7="","",Conferences!S7)</f>
        <v>18–20 Nov 2026</v>
      </c>
      <c r="L11" s="15" t="str">
        <f>IF(Conferences!V7="","",Conferences!V7)</f>
        <v>National Aerospace University "KhAI", Vadyma Manka st. 17, Kharkiv 61070, Ukraine</v>
      </c>
      <c r="M11" s="12">
        <f ca="1">IF(Conferences!X7="","",Conferences!X7)</f>
        <v>27</v>
      </c>
      <c r="N11" s="19" t="str">
        <f ca="1">IF(Conferences!Y7="","",Conferences!Y7)</f>
        <v>Open - closing soon</v>
      </c>
    </row>
    <row r="12" spans="2:14" ht="16.5" customHeight="1" x14ac:dyDescent="0.35">
      <c r="B12" s="3">
        <f>IF(Conferences!A8="","",Conferences!A8)</f>
        <v>7</v>
      </c>
      <c r="C12" s="4" t="str">
        <f>IF(Conferences!B8="","",Conferences!B8)</f>
        <v>DOORS</v>
      </c>
      <c r="D12" s="3">
        <f>IF(Conferences!C8="","",Conferences!C8)</f>
        <v>2027</v>
      </c>
      <c r="E12" s="6" t="str">
        <f>IF(Conferences!E8="","",Conferences!E8)</f>
        <v>7th Edge Computing Workshop</v>
      </c>
      <c r="F12" s="5" t="str">
        <f>IF(Conferences!G8="","",Conferences!G8)</f>
        <v>High</v>
      </c>
      <c r="G12" s="6" t="str">
        <f>IF(Conferences!K8="","",Conferences!K8)</f>
        <v>Not published</v>
      </c>
      <c r="H12" s="9">
        <f>IF(Conferences!O8="","",Conferences!O8)</f>
        <v>46367</v>
      </c>
      <c r="I12" s="9">
        <f>IF(Conferences!Q8="","",Conferences!Q8)</f>
        <v>46399</v>
      </c>
      <c r="J12" s="9">
        <f>IF(Conferences!R8="","",Conferences!R8)</f>
        <v>46467</v>
      </c>
      <c r="K12" s="6" t="str">
        <f>IF(Conferences!S8="","",Conferences!S8)</f>
        <v>02 Apr 2027</v>
      </c>
      <c r="L12" s="6" t="str">
        <f>IF(Conferences!V8="","",Conferences!V8)</f>
        <v>Zhytomyr Polytechnic State University, Department of Software Engineering, Zhytomyr, Ukraine</v>
      </c>
      <c r="M12" s="3">
        <f ca="1">IF(Conferences!X8="","",Conferences!X8)</f>
        <v>98</v>
      </c>
      <c r="N12" s="10" t="str">
        <f ca="1">IF(Conferences!Y8="","",Conferences!Y8)</f>
        <v>Open</v>
      </c>
    </row>
    <row r="13" spans="2:14" ht="24" customHeight="1" x14ac:dyDescent="0.35">
      <c r="B13" s="12">
        <f>IF(Conferences!A9="","",Conferences!A9)</f>
        <v>8</v>
      </c>
      <c r="C13" s="13" t="str">
        <f>IF(Conferences!B9="","",Conferences!B9)</f>
        <v>SCIA</v>
      </c>
      <c r="D13" s="12">
        <f>IF(Conferences!C9="","",Conferences!C9)</f>
        <v>2027</v>
      </c>
      <c r="E13" s="15" t="str">
        <f>IF(Conferences!E9="","",Conferences!E9)</f>
        <v>Scandinavian Conference on Image Analysis</v>
      </c>
      <c r="F13" s="14" t="str">
        <f>IF(Conferences!G9="","",Conferences!G9)</f>
        <v>High</v>
      </c>
      <c r="G13" s="15" t="str">
        <f>IF(Conferences!K9="","",Conferences!K9)</f>
        <v>Not published (early-bird registration deadline TBA)</v>
      </c>
      <c r="H13" s="18">
        <f>IF(Conferences!O9="","",Conferences!O9)</f>
        <v>46413</v>
      </c>
      <c r="I13" s="18">
        <f>IF(Conferences!Q9="","",Conferences!Q9)</f>
        <v>46488</v>
      </c>
      <c r="J13" s="18" t="str">
        <f>IF(Conferences!R9="","",Conferences!R9)</f>
        <v/>
      </c>
      <c r="K13" s="15" t="str">
        <f>IF(Conferences!S9="","",Conferences!S9)</f>
        <v>09–11 Jun 2027 (tutorials &amp; workshops 08 Jun)</v>
      </c>
      <c r="L13" s="15" t="str">
        <f>IF(Conferences!V9="","",Conferences!V9)</f>
        <v>Norwegian University of Science and Technology, Gjøvik, Norway</v>
      </c>
      <c r="M13" s="12">
        <f ca="1">IF(Conferences!X9="","",Conferences!X9)</f>
        <v>144</v>
      </c>
      <c r="N13" s="19" t="str">
        <f ca="1">IF(Conferences!Y9="","",Conferences!Y9)</f>
        <v>Open</v>
      </c>
    </row>
    <row r="14" spans="2:14" ht="48" customHeight="1" x14ac:dyDescent="0.35">
      <c r="B14" s="3">
        <f>IF(Conferences!A10="","",Conferences!A10)</f>
        <v>9</v>
      </c>
      <c r="C14" s="4" t="str">
        <f>IF(Conferences!B10="","",Conferences!B10)</f>
        <v>IDAACS</v>
      </c>
      <c r="D14" s="3">
        <f>IF(Conferences!C10="","",Conferences!C10)</f>
        <v>2027</v>
      </c>
      <c r="E14" s="6" t="str">
        <f>IF(Conferences!E10="","",Conferences!E10)</f>
        <v>The 14th IEEE International Conference on Intelligent Data Acquisition and Advanced Computing Systems: Technology and Applications</v>
      </c>
      <c r="F14" s="5" t="str">
        <f>IF(Conferences!G10="","",Conferences!G10)</f>
        <v>High</v>
      </c>
      <c r="G14" s="6" t="str">
        <f>IF(Conferences!K10="","",Conferences!K10)</f>
        <v>Not published for 2027</v>
      </c>
      <c r="H14" s="9">
        <f>IF(Conferences!O10="","",Conferences!O10)</f>
        <v>46446</v>
      </c>
      <c r="I14" s="9">
        <f>IF(Conferences!Q10="","",Conferences!Q10)</f>
        <v>46507</v>
      </c>
      <c r="J14" s="9">
        <f>IF(Conferences!R10="","",Conferences!R10)</f>
        <v>46538</v>
      </c>
      <c r="K14" s="6" t="str">
        <f>IF(Conferences!S10="","",Conferences!S10)</f>
        <v>22–25 Sep 2027</v>
      </c>
      <c r="L14" s="6" t="str">
        <f>IF(Conferences!V10="","",Conferences!V10)</f>
        <v>Hellenic Army Academy, Athens, Greece</v>
      </c>
      <c r="M14" s="3">
        <f ca="1">IF(Conferences!X10="","",Conferences!X10)</f>
        <v>177</v>
      </c>
      <c r="N14" s="10" t="str">
        <f ca="1">IF(Conferences!Y10="","",Conferences!Y10)</f>
        <v>Open</v>
      </c>
    </row>
    <row r="15" spans="2:14" ht="96" customHeight="1" x14ac:dyDescent="0.35">
      <c r="B15" s="12">
        <f>IF(Conferences!A11="","",Conferences!A11)</f>
        <v>10</v>
      </c>
      <c r="C15" s="13" t="str">
        <f>IF(Conferences!B11="","",Conferences!B11)</f>
        <v>ACIT</v>
      </c>
      <c r="D15" s="12">
        <f>IF(Conferences!C11="","",Conferences!C11)</f>
        <v>2027</v>
      </c>
      <c r="E15" s="15" t="str">
        <f>IF(Conferences!E11="","",Conferences!E11)</f>
        <v>IEEE 17th International Conference on Advanced Computer Information Technologies</v>
      </c>
      <c r="F15" s="14" t="str">
        <f>IF(Conferences!G11="","",Conferences!G11)</f>
        <v>High</v>
      </c>
      <c r="G15" s="15" t="str">
        <f>IF(Conferences!K11="","",Conferences!K11)</f>
        <v>Not published for 2027 - the shared Payments page still shows the ACIT'2026 schedule (on-site 350 EUR non-IEEE / 300 EUR IEEE member or PhD student / 250 EUR IEEE PhD student; online 120 / 90 / 70 EUR; accompanying person 200 EUR; free for single-author student papers; +20 EUR per page above 4; one registration covers up to two accepted papers) with payment due 30.06.2026</v>
      </c>
      <c r="H15" s="18">
        <f>IF(Conferences!O11="","",Conferences!O11)</f>
        <v>46481</v>
      </c>
      <c r="I15" s="18">
        <f>IF(Conferences!Q11="","",Conferences!Q11)</f>
        <v>46551</v>
      </c>
      <c r="J15" s="18">
        <f>IF(Conferences!R11="","",Conferences!R11)</f>
        <v>46568</v>
      </c>
      <c r="K15" s="15" t="str">
        <f>IF(Conferences!S11="","",Conferences!S11)</f>
        <v>13–15 Sep 2027</v>
      </c>
      <c r="L15" s="15" t="str">
        <f>IF(Conferences!V11="","",Conferences!V11)</f>
        <v>Constantine the Philosopher University, Tr. A. Hlinku 1, 949 01 Nitra, Slovakia</v>
      </c>
      <c r="M15" s="12">
        <f ca="1">IF(Conferences!X11="","",Conferences!X11)</f>
        <v>212</v>
      </c>
      <c r="N15" s="19" t="str">
        <f ca="1">IF(Conferences!Y11="","",Conferences!Y11)</f>
        <v>Open</v>
      </c>
    </row>
    <row r="16" spans="2:14" ht="24" customHeight="1" x14ac:dyDescent="0.35">
      <c r="B16" s="3">
        <f>IF(Conferences!A12="","",Conferences!A12)</f>
        <v>11</v>
      </c>
      <c r="C16" s="4" t="str">
        <f>IF(Conferences!B12="","",Conferences!B12)</f>
        <v>FedCSIS</v>
      </c>
      <c r="D16" s="3">
        <f>IF(Conferences!C12="","",Conferences!C12)</f>
        <v>2027</v>
      </c>
      <c r="E16" s="6" t="str">
        <f>IF(Conferences!E12="","",Conferences!E12)</f>
        <v>22nd Conference on Computer Science and Intelligence Systems</v>
      </c>
      <c r="F16" s="5" t="str">
        <f>IF(Conferences!G12="","",Conferences!G12)</f>
        <v>High</v>
      </c>
      <c r="G16" s="6" t="str">
        <f>IF(Conferences!K12="","",Conferences!K12)</f>
        <v>TBA — the conference fees page reads "TBA"</v>
      </c>
      <c r="H16" s="9">
        <f>IF(Conferences!O12="","",Conferences!O12)</f>
        <v>46521</v>
      </c>
      <c r="I16" s="9">
        <f>IF(Conferences!Q12="","",Conferences!Q12)</f>
        <v>46583</v>
      </c>
      <c r="J16" s="9">
        <f>IF(Conferences!R12="","",Conferences!R12)</f>
        <v>46599</v>
      </c>
      <c r="K16" s="6" t="str">
        <f>IF(Conferences!S12="","",Conferences!S12)</f>
        <v>12–15 Sep 2027</v>
      </c>
      <c r="L16" s="6" t="str">
        <f>IF(Conferences!V12="","",Conferences!V12)</f>
        <v>Gdynia, Poland</v>
      </c>
      <c r="M16" s="3">
        <f ca="1">IF(Conferences!X12="","",Conferences!X12)</f>
        <v>252</v>
      </c>
      <c r="N16" s="10" t="str">
        <f ca="1">IF(Conferences!Y12="","",Conferences!Y12)</f>
        <v>Open</v>
      </c>
    </row>
    <row r="17" spans="2:14" ht="24" customHeight="1" x14ac:dyDescent="0.35">
      <c r="B17" s="12">
        <f>IF(Conferences!A13="","",Conferences!A13)</f>
        <v>12</v>
      </c>
      <c r="C17" s="13" t="str">
        <f>IF(Conferences!B13="","",Conferences!B13)</f>
        <v>MoMLeT&amp;DS</v>
      </c>
      <c r="D17" s="12">
        <f>IF(Conferences!C13="","",Conferences!C13)</f>
        <v>2027</v>
      </c>
      <c r="E17" s="15" t="str">
        <f>IF(Conferences!E13="","",Conferences!E13)</f>
        <v>Modern Machine Learning Technologies and Data Science</v>
      </c>
      <c r="F17" s="14" t="str">
        <f>IF(Conferences!G13="","",Conferences!G13)</f>
        <v>High</v>
      </c>
      <c r="G17" s="15" t="str">
        <f>IF(Conferences!K13="","",Conferences!K13)</f>
        <v>Not published</v>
      </c>
      <c r="H17" s="18">
        <f>IF(Conferences!O13="","",Conferences!O13)</f>
        <v>46521</v>
      </c>
      <c r="I17" s="18">
        <f>IF(Conferences!Q13="","",Conferences!Q13)</f>
        <v>46537</v>
      </c>
      <c r="J17" s="18" t="str">
        <f>IF(Conferences!R13="","",Conferences!R13)</f>
        <v/>
      </c>
      <c r="K17" s="15" t="str">
        <f>IF(Conferences!S13="","",Conferences!S13)</f>
        <v>07 Jun 2027</v>
      </c>
      <c r="L17" s="15" t="str">
        <f>IF(Conferences!V13="","",Conferences!V13)</f>
        <v>Not stated - online event; run inside the "Mathematics. Information Technologies. Education" framework. Co-organised by the Leiden Institute of Advanced Computer Science (Netherlands), University of Jyvaskyla (Finland), Lviv Polytechnic National University, University Institute of Lisbon (Portugal), De Montfort University (UK), Politechnika Slaska (Poland) and Ivano-Frankivsk NTU of Oil and Gas</v>
      </c>
      <c r="M17" s="12">
        <f ca="1">IF(Conferences!X13="","",Conferences!X13)</f>
        <v>252</v>
      </c>
      <c r="N17" s="19" t="str">
        <f ca="1">IF(Conferences!Y13="","",Conferences!Y13)</f>
        <v>Open</v>
      </c>
    </row>
    <row r="18" spans="2:14" ht="36" customHeight="1" x14ac:dyDescent="0.35">
      <c r="B18" s="3">
        <f>IF(Conferences!A14="","",Conferences!A14)</f>
        <v>13</v>
      </c>
      <c r="C18" s="4" t="str">
        <f>IF(Conferences!B14="","",Conferences!B14)</f>
        <v>AI4Cyber</v>
      </c>
      <c r="D18" s="3">
        <f>IF(Conferences!C14="","",Conferences!C14)</f>
        <v>2026</v>
      </c>
      <c r="E18" s="6" t="str">
        <f>IF(Conferences!E14="","",Conferences!E14)</f>
        <v>Workshop on Artificial Intelligence for Cybersecurity (AIC)</v>
      </c>
      <c r="F18" s="5" t="str">
        <f>IF(Conferences!G14="","",Conferences!G14)</f>
        <v>High</v>
      </c>
      <c r="G18" s="6" t="str">
        <f>IF(Conferences!K14="","",Conferences!K14)</f>
        <v>Not published</v>
      </c>
      <c r="H18" s="9">
        <f>IF(Conferences!O14="","",Conferences!O14)</f>
        <v>46272</v>
      </c>
      <c r="I18" s="9" t="str">
        <f>IF(Conferences!Q14="","",Conferences!Q14)</f>
        <v/>
      </c>
      <c r="J18" s="9">
        <f>IF(Conferences!R14="","",Conferences!R14)</f>
        <v>46272</v>
      </c>
      <c r="K18" s="6" t="str">
        <f>IF(Conferences!S14="","",Conferences!S14)</f>
        <v>24–25 Sep 2026</v>
      </c>
      <c r="L18" s="6" t="str">
        <f>IF(Conferences!V14="","",Conferences!V14)</f>
        <v>University of the National Education Commission, Krakow, Poland (inside SMICS-2026)</v>
      </c>
      <c r="M18" s="3">
        <f ca="1">IF(Conferences!X14="","",Conferences!X14)</f>
        <v>3</v>
      </c>
      <c r="N18" s="10" t="str">
        <f ca="1">IF(Conferences!Y14="","",Conferences!Y14)</f>
        <v>Open - closing soon</v>
      </c>
    </row>
    <row r="19" spans="2:14" ht="24" customHeight="1" x14ac:dyDescent="0.35">
      <c r="B19" s="12">
        <f>IF(Conferences!A15="","",Conferences!A15)</f>
        <v>14</v>
      </c>
      <c r="C19" s="13" t="str">
        <f>IF(Conferences!B15="","",Conferences!B15)</f>
        <v>SMICS</v>
      </c>
      <c r="D19" s="12">
        <f>IF(Conferences!C15="","",Conferences!C15)</f>
        <v>2026</v>
      </c>
      <c r="E19" s="15" t="str">
        <f>IF(Conferences!E15="","",Conferences!E15)</f>
        <v>International Conference “Security of Modern Information and Communication Systems”</v>
      </c>
      <c r="F19" s="14" t="str">
        <f>IF(Conferences!G15="","",Conferences!G15)</f>
        <v>High</v>
      </c>
      <c r="G19" s="15" t="str">
        <f>IF(Conferences!K15="","",Conferences!K15)</f>
        <v>Not published</v>
      </c>
      <c r="H19" s="18">
        <f>IF(Conferences!O15="","",Conferences!O15)</f>
        <v>46272</v>
      </c>
      <c r="I19" s="18" t="str">
        <f>IF(Conferences!Q15="","",Conferences!Q15)</f>
        <v/>
      </c>
      <c r="J19" s="18">
        <f>IF(Conferences!R15="","",Conferences!R15)</f>
        <v>46272</v>
      </c>
      <c r="K19" s="15" t="str">
        <f>IF(Conferences!S15="","",Conferences!S15)</f>
        <v>24–25 Sep 2026</v>
      </c>
      <c r="L19" s="15" t="str">
        <f>IF(Conferences!V15="","",Conferences!V15)</f>
        <v>University of the National Education Commission, Krakow, Poland</v>
      </c>
      <c r="M19" s="12">
        <f ca="1">IF(Conferences!X15="","",Conferences!X15)</f>
        <v>3</v>
      </c>
      <c r="N19" s="19" t="str">
        <f ca="1">IF(Conferences!Y15="","",Conferences!Y15)</f>
        <v>Open - closing soon</v>
      </c>
    </row>
    <row r="20" spans="2:14" ht="36" customHeight="1" x14ac:dyDescent="0.35">
      <c r="B20" s="3">
        <f>IF(Conferences!A16="","",Conferences!A16)</f>
        <v>15</v>
      </c>
      <c r="C20" s="4" t="str">
        <f>IF(Conferences!B16="","",Conferences!B16)</f>
        <v>WCDS</v>
      </c>
      <c r="D20" s="3">
        <f>IF(Conferences!C16="","",Conferences!C16)</f>
        <v>2026</v>
      </c>
      <c r="E20" s="6" t="str">
        <f>IF(Conferences!E16="","",Conferences!E16)</f>
        <v>Workshop on Cryptology and Data Security (CDS)</v>
      </c>
      <c r="F20" s="5" t="str">
        <f>IF(Conferences!G16="","",Conferences!G16)</f>
        <v>High</v>
      </c>
      <c r="G20" s="6" t="str">
        <f>IF(Conferences!K16="","",Conferences!K16)</f>
        <v>Not published</v>
      </c>
      <c r="H20" s="9">
        <f>IF(Conferences!O16="","",Conferences!O16)</f>
        <v>46272</v>
      </c>
      <c r="I20" s="9" t="str">
        <f>IF(Conferences!Q16="","",Conferences!Q16)</f>
        <v/>
      </c>
      <c r="J20" s="9">
        <f>IF(Conferences!R16="","",Conferences!R16)</f>
        <v>46272</v>
      </c>
      <c r="K20" s="6" t="str">
        <f>IF(Conferences!S16="","",Conferences!S16)</f>
        <v>24–25 Sep 2026</v>
      </c>
      <c r="L20" s="6" t="str">
        <f>IF(Conferences!V16="","",Conferences!V16)</f>
        <v>University of the National Education Commission, Krakow, Poland (inside SMICS-2026)</v>
      </c>
      <c r="M20" s="3">
        <f ca="1">IF(Conferences!X16="","",Conferences!X16)</f>
        <v>3</v>
      </c>
      <c r="N20" s="10" t="str">
        <f ca="1">IF(Conferences!Y16="","",Conferences!Y16)</f>
        <v>Open - closing soon</v>
      </c>
    </row>
    <row r="21" spans="2:14" ht="24" customHeight="1" x14ac:dyDescent="0.35">
      <c r="B21" s="12">
        <f>IF(Conferences!A17="","",Conferences!A17)</f>
        <v>16</v>
      </c>
      <c r="C21" s="13" t="str">
        <f>IF(Conferences!B17="","",Conferences!B17)</f>
        <v>ICTERI</v>
      </c>
      <c r="D21" s="12">
        <f>IF(Conferences!C17="","",Conferences!C17)</f>
        <v>2026</v>
      </c>
      <c r="E21" s="15" t="str">
        <f>IF(Conferences!E17="","",Conferences!E17)</f>
        <v>21st International Conference on ICT in Education, Research and Industrial Applications</v>
      </c>
      <c r="F21" s="14" t="str">
        <f>IF(Conferences!G17="","",Conferences!G17)</f>
        <v>Mediocre</v>
      </c>
      <c r="G21" s="15" t="str">
        <f>IF(Conferences!K17="","",Conferences!K17)</f>
        <v>Free — "ICTERI 2026 does not charge any conference fee"</v>
      </c>
      <c r="H21" s="18">
        <f>IF(Conferences!O17="","",Conferences!O17)</f>
        <v>46160</v>
      </c>
      <c r="I21" s="18">
        <f>IF(Conferences!Q17="","",Conferences!Q17)</f>
        <v>46265</v>
      </c>
      <c r="J21" s="18">
        <f>IF(Conferences!R17="","",Conferences!R17)</f>
        <v>46265</v>
      </c>
      <c r="K21" s="15" t="str">
        <f>IF(Conferences!S17="","",Conferences!S17)</f>
        <v>15–18 Sep 2026</v>
      </c>
      <c r="L21" s="15" t="str">
        <f>IF(Conferences!V17="","",Conferences!V17)</f>
        <v>Yuriy Fedkovych Chernivtsi National University, Chernivtsi, Ukraine</v>
      </c>
      <c r="M21" s="12">
        <f ca="1">IF(Conferences!X17="","",Conferences!X17)</f>
        <v>-109</v>
      </c>
      <c r="N21" s="19" t="str">
        <f ca="1">IF(Conferences!Y17="","",Conferences!Y17)</f>
        <v>Submissions closed - event ahead</v>
      </c>
    </row>
    <row r="22" spans="2:14" ht="84" customHeight="1" x14ac:dyDescent="0.35">
      <c r="B22" s="3">
        <f>IF(Conferences!A18="","",Conferences!A18)</f>
        <v>17</v>
      </c>
      <c r="C22" s="4" t="str">
        <f>IF(Conferences!B18="","",Conferences!B18)</f>
        <v>KhPIW</v>
      </c>
      <c r="D22" s="3">
        <f>IF(Conferences!C18="","",Conferences!C18)</f>
        <v>2026</v>
      </c>
      <c r="E22" s="6" t="str">
        <f>IF(Conferences!E18="","",Conferences!E18)</f>
        <v>IEEE 7th KhPI Week on Advanced Technology</v>
      </c>
      <c r="F22" s="5" t="str">
        <f>IF(Conferences!G18="","",Conferences!G18)</f>
        <v>Mediocre</v>
      </c>
      <c r="G22" s="6" t="str">
        <f>IF(Conferences!K18="","",Conferences!K18)</f>
        <v>Online/hybrid 250 EUR IEEE member, 300 EUR non-member, 150 EUR IEEE student, 200 EUR student non-member (VAT incl.); DISCOUNTS UP TO 95% for participants from Ukraine where foreign authors are 50% or fewer</v>
      </c>
      <c r="H22" s="9">
        <f>IF(Conferences!O18="","",Conferences!O18)</f>
        <v>46188</v>
      </c>
      <c r="I22" s="9">
        <f>IF(Conferences!Q18="","",Conferences!Q18)</f>
        <v>46264</v>
      </c>
      <c r="J22" s="9">
        <f>IF(Conferences!R18="","",Conferences!R18)</f>
        <v>46285</v>
      </c>
      <c r="K22" s="6" t="str">
        <f>IF(Conferences!S18="","",Conferences!S18)</f>
        <v>05–09 Oct 2026</v>
      </c>
      <c r="L22" s="6" t="str">
        <f>IF(Conferences!V18="","",Conferences!V18)</f>
        <v>National Technical University "Kharkiv Polytechnic Institute" (NTU "KhPI"), Kharkiv, Ukraine</v>
      </c>
      <c r="M22" s="3">
        <f ca="1">IF(Conferences!X18="","",Conferences!X18)</f>
        <v>-81</v>
      </c>
      <c r="N22" s="10" t="str">
        <f ca="1">IF(Conferences!Y18="","",Conferences!Y18)</f>
        <v>Registration due</v>
      </c>
    </row>
    <row r="23" spans="2:14" ht="48" customHeight="1" x14ac:dyDescent="0.35">
      <c r="B23" s="12">
        <f>IF(Conferences!A19="","",Conferences!A19)</f>
        <v>18</v>
      </c>
      <c r="C23" s="13" t="str">
        <f>IF(Conferences!B19="","",Conferences!B19)</f>
        <v>IS</v>
      </c>
      <c r="D23" s="12">
        <f>IF(Conferences!C19="","",Conferences!C19)</f>
        <v>2026</v>
      </c>
      <c r="E23" s="15" t="str">
        <f>IF(Conferences!E19="","",Conferences!E19)</f>
        <v>IEEE 13th International Conference on Intelligent Systems</v>
      </c>
      <c r="F23" s="14" t="str">
        <f>IF(Conferences!G19="","",Conferences!G19)</f>
        <v>Mediocre</v>
      </c>
      <c r="G23" s="15" t="str">
        <f>IF(Conferences!K19="","",Conferences!K19)</f>
        <v>Early (to 15 Aug) / late: IEEE members 400/450 EUR, non-members 450/500 EUR, students 300/350 EUR</v>
      </c>
      <c r="H23" s="18">
        <f>IF(Conferences!O19="","",Conferences!O19)</f>
        <v>46208</v>
      </c>
      <c r="I23" s="18">
        <f>IF(Conferences!Q19="","",Conferences!Q19)</f>
        <v>46244</v>
      </c>
      <c r="J23" s="18">
        <f>IF(Conferences!R19="","",Conferences!R19)</f>
        <v>46269</v>
      </c>
      <c r="K23" s="15" t="str">
        <f>IF(Conferences!S19="","",Conferences!S19)</f>
        <v>03–05 Sep 2026</v>
      </c>
      <c r="L23" s="15" t="str">
        <f>IF(Conferences!V19="","",Conferences!V19)</f>
        <v>Hotel Cherno More, Boulevard Slivnitsa 33, Varna, Bulgaria</v>
      </c>
      <c r="M23" s="12">
        <f ca="1">IF(Conferences!X19="","",Conferences!X19)</f>
        <v>-61</v>
      </c>
      <c r="N23" s="19" t="str">
        <f ca="1">IF(Conferences!Y19="","",Conferences!Y19)</f>
        <v>Event in progress</v>
      </c>
    </row>
    <row r="24" spans="2:14" ht="36" customHeight="1" x14ac:dyDescent="0.35">
      <c r="B24" s="3">
        <f>IF(Conferences!A20="","",Conferences!A20)</f>
        <v>19</v>
      </c>
      <c r="C24" s="4" t="str">
        <f>IF(Conferences!B20="","",Conferences!B20)</f>
        <v>ADT-ISMDDC</v>
      </c>
      <c r="D24" s="3">
        <f>IF(Conferences!C20="","",Conferences!C20)</f>
        <v>2026</v>
      </c>
      <c r="E24" s="6" t="str">
        <f>IF(Conferences!E20="","",Conferences!E20)</f>
        <v>International Scientific and Practical Workshop “Advanced Digital Technologies: Intelligent Systems, Modeling, and Data-Driven Control”</v>
      </c>
      <c r="F24" s="5" t="str">
        <f>IF(Conferences!G20="","",Conferences!G20)</f>
        <v>Mediocre</v>
      </c>
      <c r="G24" s="6" t="str">
        <f>IF(Conferences!K20="","",Conferences!K20)</f>
        <v>Free — "Participation ... is free of charge"</v>
      </c>
      <c r="H24" s="9">
        <f>IF(Conferences!O20="","",Conferences!O20)</f>
        <v>46218</v>
      </c>
      <c r="I24" s="9" t="str">
        <f>IF(Conferences!Q20="","",Conferences!Q20)</f>
        <v/>
      </c>
      <c r="J24" s="9">
        <f>IF(Conferences!R20="","",Conferences!R20)</f>
        <v>46218</v>
      </c>
      <c r="K24" s="6" t="str">
        <f>IF(Conferences!S20="","",Conferences!S20)</f>
        <v>22–24 Sep 2026</v>
      </c>
      <c r="L24" s="6" t="str">
        <f>IF(Conferences!V20="","",Conferences!V20)</f>
        <v>Odesa Polytechnic National University, Shevchenko ave. 1, 65044 Odesa, Ukraine (co-located with ICST-2026)</v>
      </c>
      <c r="M24" s="3">
        <f ca="1">IF(Conferences!X20="","",Conferences!X20)</f>
        <v>-51</v>
      </c>
      <c r="N24" s="10" t="str">
        <f ca="1">IF(Conferences!Y20="","",Conferences!Y20)</f>
        <v>Submissions closed - event ahead</v>
      </c>
    </row>
    <row r="25" spans="2:14" ht="72" customHeight="1" x14ac:dyDescent="0.35">
      <c r="B25" s="12">
        <f>IF(Conferences!A21="","",Conferences!A21)</f>
        <v>20</v>
      </c>
      <c r="C25" s="13" t="str">
        <f>IF(Conferences!B21="","",Conferences!B21)</f>
        <v>ICST</v>
      </c>
      <c r="D25" s="12">
        <f>IF(Conferences!C21="","",Conferences!C21)</f>
        <v>2026</v>
      </c>
      <c r="E25" s="15" t="str">
        <f>IF(Conferences!E21="","",Conferences!E21)</f>
        <v>Information Control Systems and Technologies</v>
      </c>
      <c r="F25" s="14" t="str">
        <f>IF(Conferences!G21="","",Conferences!G21)</f>
        <v>Mediocre</v>
      </c>
      <c r="G25" s="15" t="str">
        <f>IF(Conferences!K21="","",Conferences!K21)</f>
        <v>Free — participation in ICST-2026 is free of charge. Optional printed editions (Ukraine / abroad): electronic thesis 190 UAH / 35 USD, paper thesis 300 UAH / 70 USD, paper monograph 950 UAH</v>
      </c>
      <c r="H25" s="18">
        <f>IF(Conferences!O21="","",Conferences!O21)</f>
        <v>46218</v>
      </c>
      <c r="I25" s="18" t="str">
        <f>IF(Conferences!Q21="","",Conferences!Q21)</f>
        <v/>
      </c>
      <c r="J25" s="18">
        <f>IF(Conferences!R21="","",Conferences!R21)</f>
        <v>46218</v>
      </c>
      <c r="K25" s="15" t="str">
        <f>IF(Conferences!S21="","",Conferences!S21)</f>
        <v>22–24 Sep 2026</v>
      </c>
      <c r="L25" s="15" t="str">
        <f>IF(Conferences!V21="","",Conferences!V21)</f>
        <v>Odesa Polytechnic National University, Shevchenko ave. 1, 65044 Odesa, Ukraine</v>
      </c>
      <c r="M25" s="12">
        <f ca="1">IF(Conferences!X21="","",Conferences!X21)</f>
        <v>-51</v>
      </c>
      <c r="N25" s="19" t="str">
        <f ca="1">IF(Conferences!Y21="","",Conferences!Y21)</f>
        <v>Submissions closed - event ahead</v>
      </c>
    </row>
    <row r="26" spans="2:14" ht="36" customHeight="1" x14ac:dyDescent="0.35">
      <c r="B26" s="3">
        <f>IF(Conferences!A22="","",Conferences!A22)</f>
        <v>21</v>
      </c>
      <c r="C26" s="4" t="str">
        <f>IF(Conferences!B22="","",Conferences!B22)</f>
        <v>XAI.it</v>
      </c>
      <c r="D26" s="3">
        <f>IF(Conferences!C22="","",Conferences!C22)</f>
        <v>2026</v>
      </c>
      <c r="E26" s="6" t="str">
        <f>IF(Conferences!E22="","",Conferences!E22)</f>
        <v>Italian Workshop on Explainable AI, Generative and Agentic Systems: Trust, Transparency and Human Oversight</v>
      </c>
      <c r="F26" s="5" t="str">
        <f>IF(Conferences!G22="","",Conferences!G22)</f>
        <v>Mediocre</v>
      </c>
      <c r="G26" s="6" t="str">
        <f>IF(Conferences!K22="","",Conferences!K22)</f>
        <v>Not published</v>
      </c>
      <c r="H26" s="9">
        <f>IF(Conferences!O22="","",Conferences!O22)</f>
        <v>46230</v>
      </c>
      <c r="I26" s="9">
        <f>IF(Conferences!Q22="","",Conferences!Q22)</f>
        <v>46279</v>
      </c>
      <c r="J26" s="9" t="str">
        <f>IF(Conferences!R22="","",Conferences!R22)</f>
        <v/>
      </c>
      <c r="K26" s="6" t="str">
        <f>IF(Conferences!S22="","",Conferences!S22)</f>
        <v>08–09 Oct 2026</v>
      </c>
      <c r="L26" s="6" t="str">
        <f>IF(Conferences!V22="","",Conferences!V22)</f>
        <v>Perugia, Italy - co-located with AI*IA 2026, the 24th International Conference of the Italian Association for Artificial Intelligence</v>
      </c>
      <c r="M26" s="3">
        <f ca="1">IF(Conferences!X22="","",Conferences!X22)</f>
        <v>-39</v>
      </c>
      <c r="N26" s="10" t="str">
        <f ca="1">IF(Conferences!Y22="","",Conferences!Y22)</f>
        <v>Camera-ready due</v>
      </c>
    </row>
    <row r="27" spans="2:14" ht="48" customHeight="1" x14ac:dyDescent="0.35">
      <c r="B27" s="12">
        <f>IF(Conferences!A23="","",Conferences!A23)</f>
        <v>22</v>
      </c>
      <c r="C27" s="13" t="str">
        <f>IF(Conferences!B23="","",Conferences!B23)</f>
        <v>MCEME</v>
      </c>
      <c r="D27" s="12">
        <f>IF(Conferences!C23="","",Conferences!C23)</f>
        <v>2026</v>
      </c>
      <c r="E27" s="15" t="str">
        <f>IF(Conferences!E23="","",Conferences!E23)</f>
        <v>III International Scientific and Theoretical Conference “Modeling and Computer Engineering in Mechanical Engineering: Theory, Practice, and Innovation”</v>
      </c>
      <c r="F27" s="14" t="str">
        <f>IF(Conferences!G23="","",Conferences!G23)</f>
        <v>Mediocre</v>
      </c>
      <c r="G27" s="15" t="str">
        <f>IF(Conferences!K23="","",Conferences!K23)</f>
        <v>Free — "There is no registration fee for participation in the conference"</v>
      </c>
      <c r="H27" s="18">
        <f>IF(Conferences!O23="","",Conferences!O23)</f>
        <v>46234</v>
      </c>
      <c r="I27" s="18">
        <f>IF(Conferences!Q23="","",Conferences!Q23)</f>
        <v>46254</v>
      </c>
      <c r="J27" s="18" t="str">
        <f>IF(Conferences!R23="","",Conferences!R23)</f>
        <v/>
      </c>
      <c r="K27" s="15" t="str">
        <f>IF(Conferences!S23="","",Conferences!S23)</f>
        <v>07–12 Sep 2026 (opening 08 Sep, 10:00)</v>
      </c>
      <c r="L27" s="15" t="str">
        <f>IF(Conferences!V23="","",Conferences!V23)</f>
        <v>Lviv Polytechnic National University, 12 S. Bandera Street, Lviv 79013, Ukraine</v>
      </c>
      <c r="M27" s="12">
        <f ca="1">IF(Conferences!X23="","",Conferences!X23)</f>
        <v>-35</v>
      </c>
      <c r="N27" s="19" t="str">
        <f ca="1">IF(Conferences!Y23="","",Conferences!Y23)</f>
        <v>Submissions closed - event ahead</v>
      </c>
    </row>
    <row r="28" spans="2:14" ht="36" customHeight="1" x14ac:dyDescent="0.35">
      <c r="B28" s="3">
        <f>IF(Conferences!A24="","",Conferences!A24)</f>
        <v>23</v>
      </c>
      <c r="C28" s="4" t="str">
        <f>IF(Conferences!B24="","",Conferences!B24)</f>
        <v>ITTAP</v>
      </c>
      <c r="D28" s="3">
        <f>IF(Conferences!C24="","",Conferences!C24)</f>
        <v>2026</v>
      </c>
      <c r="E28" s="6" t="str">
        <f>IF(Conferences!E24="","",Conferences!E24)</f>
        <v>The 6th International Conference on Information Technologies: Theoretical and Applied Problems</v>
      </c>
      <c r="F28" s="5" t="str">
        <f>IF(Conferences!G24="","",Conferences!G24)</f>
        <v>Mediocre</v>
      </c>
      <c r="G28" s="6" t="str">
        <f>IF(Conferences!K24="","",Conferences!K24)</f>
        <v>Free — remote participation and publication in the proceedings are free of charge</v>
      </c>
      <c r="H28" s="9">
        <f>IF(Conferences!O24="","",Conferences!O24)</f>
        <v>46237</v>
      </c>
      <c r="I28" s="9">
        <f>IF(Conferences!Q24="","",Conferences!Q24)</f>
        <v>46280</v>
      </c>
      <c r="J28" s="9" t="str">
        <f>IF(Conferences!R24="","",Conferences!R24)</f>
        <v/>
      </c>
      <c r="K28" s="6" t="str">
        <f>IF(Conferences!S24="","",Conferences!S24)</f>
        <v>19–21 Oct 2026</v>
      </c>
      <c r="L28" s="6" t="str">
        <f>IF(Conferences!V24="","",Conferences!V24)</f>
        <v>Ternopil Ivan Puluj National Technical University, Ternopil, Ukraine</v>
      </c>
      <c r="M28" s="3">
        <f ca="1">IF(Conferences!X24="","",Conferences!X24)</f>
        <v>-32</v>
      </c>
      <c r="N28" s="10" t="str">
        <f ca="1">IF(Conferences!Y24="","",Conferences!Y24)</f>
        <v>Camera-ready due</v>
      </c>
    </row>
    <row r="29" spans="2:14" ht="36" customHeight="1" x14ac:dyDescent="0.35">
      <c r="B29" s="12">
        <f>IF(Conferences!A25="","",Conferences!A25)</f>
        <v>24</v>
      </c>
      <c r="C29" s="13" t="str">
        <f>IF(Conferences!B25="","",Conferences!B25)</f>
        <v>HC@AIxIA</v>
      </c>
      <c r="D29" s="12">
        <f>IF(Conferences!C25="","",Conferences!C25)</f>
        <v>2026</v>
      </c>
      <c r="E29" s="15" t="str">
        <f>IF(Conferences!E25="","",Conferences!E25)</f>
        <v>5th International AIxIA Workshop on Artificial Intelligence for Healthcare</v>
      </c>
      <c r="F29" s="14" t="str">
        <f>IF(Conferences!G25="","",Conferences!G25)</f>
        <v>Mediocre</v>
      </c>
      <c r="G29" s="15" t="str">
        <f>IF(Conferences!K25="","",Conferences!K25)</f>
        <v>Authors must register for AIxIA 2026 (workshop fee not published separately)</v>
      </c>
      <c r="H29" s="18">
        <f>IF(Conferences!O25="","",Conferences!O25)</f>
        <v>46238</v>
      </c>
      <c r="I29" s="18">
        <f>IF(Conferences!Q25="","",Conferences!Q25)</f>
        <v>46280</v>
      </c>
      <c r="J29" s="18">
        <f>IF(Conferences!R25="","",Conferences!R25)</f>
        <v>46269</v>
      </c>
      <c r="K29" s="15" t="str">
        <f>IF(Conferences!S25="","",Conferences!S25)</f>
        <v>06–09 Oct 2026</v>
      </c>
      <c r="L29" s="15" t="str">
        <f>IF(Conferences!V25="","",Conferences!V25)</f>
        <v>Perugia, Italy</v>
      </c>
      <c r="M29" s="12">
        <f ca="1">IF(Conferences!X25="","",Conferences!X25)</f>
        <v>-31</v>
      </c>
      <c r="N29" s="19" t="str">
        <f ca="1">IF(Conferences!Y25="","",Conferences!Y25)</f>
        <v>Camera-ready due</v>
      </c>
    </row>
    <row r="30" spans="2:14" ht="36" customHeight="1" x14ac:dyDescent="0.35">
      <c r="B30" s="3">
        <f>IF(Conferences!A26="","",Conferences!A26)</f>
        <v>25</v>
      </c>
      <c r="C30" s="4" t="str">
        <f>IF(Conferences!B26="","",Conferences!B26)</f>
        <v>DESSERT</v>
      </c>
      <c r="D30" s="3">
        <f>IF(Conferences!C26="","",Conferences!C26)</f>
        <v>2026</v>
      </c>
      <c r="E30" s="6" t="str">
        <f>IF(Conferences!E26="","",Conferences!E26)</f>
        <v>16th International IEEE Conference Dependable Systems, Services and Technologies</v>
      </c>
      <c r="F30" s="5" t="str">
        <f>IF(Conferences!G26="","",Conferences!G26)</f>
        <v>Mediocre</v>
      </c>
      <c r="G30" s="6" t="str">
        <f>IF(Conferences!K26="","",Conferences!K26)</f>
        <v>Full registration 300 EUR non-IEEE member / 260 EUR IEEE member; students presenting a single-author paper 240 EUR non-IEEE / 200 EUR IEEE; accompanying person or participation without paper/presentation 150 EUR; online presentation for Ukrainian participants 70 EUR non-IEEE / 50 EUR IEEE</v>
      </c>
      <c r="H30" s="9">
        <f>IF(Conferences!O26="","",Conferences!O26)</f>
        <v>46246</v>
      </c>
      <c r="I30" s="9">
        <f>IF(Conferences!Q26="","",Conferences!Q26)</f>
        <v>46274</v>
      </c>
      <c r="J30" s="9">
        <f>IF(Conferences!R26="","",Conferences!R26)</f>
        <v>46277</v>
      </c>
      <c r="K30" s="6" t="str">
        <f>IF(Conferences!S26="","",Conferences!S26)</f>
        <v>02–04 Oct 2026</v>
      </c>
      <c r="L30" s="6" t="str">
        <f>IF(Conferences!V26="","",Conferences!V26)</f>
        <v>Corfu (Kerkyra), Greece - organising committee: Department 503, National Aerospace University "KhAI", Vadym Manko str. 17, Kharkiv 61070, Ukraine</v>
      </c>
      <c r="M30" s="3">
        <f ca="1">IF(Conferences!X26="","",Conferences!X26)</f>
        <v>-23</v>
      </c>
      <c r="N30" s="10" t="str">
        <f ca="1">IF(Conferences!Y26="","",Conferences!Y26)</f>
        <v>Camera-ready due</v>
      </c>
    </row>
    <row r="31" spans="2:14" ht="84" customHeight="1" x14ac:dyDescent="0.35">
      <c r="B31" s="12">
        <f>IF(Conferences!A27="","",Conferences!A27)</f>
        <v>26</v>
      </c>
      <c r="C31" s="13" t="str">
        <f>IF(Conferences!B27="","",Conferences!B27)</f>
        <v>CSIT</v>
      </c>
      <c r="D31" s="12">
        <f>IF(Conferences!C27="","",Conferences!C27)</f>
        <v>2026</v>
      </c>
      <c r="E31" s="15" t="str">
        <f>IF(Conferences!E27="","",Conferences!E27)</f>
        <v>IEEE 20th International Conference on Computer Science and Information Technologies</v>
      </c>
      <c r="F31" s="14" t="str">
        <f>IF(Conferences!G27="","",Conferences!G27)</f>
        <v>Mediocre</v>
      </c>
      <c r="G31" s="15" t="str">
        <f>IF(Conferences!K27="","",Conferences!K27)</f>
        <v>250 EUR IEEE member, 300 EUR non-member, 150 EUR IEEE student/life member, 200 EUR student non-member; DISCOUNTS UP TO 95% for participants from Ukraine where foreign authors are 50% or fewer</v>
      </c>
      <c r="H31" s="18">
        <f>IF(Conferences!O27="","",Conferences!O27)</f>
        <v>46254</v>
      </c>
      <c r="I31" s="18" t="str">
        <f>IF(Conferences!Q27="","",Conferences!Q27)</f>
        <v/>
      </c>
      <c r="J31" s="18">
        <f>IF(Conferences!R27="","",Conferences!R27)</f>
        <v>46291</v>
      </c>
      <c r="K31" s="15" t="str">
        <f>IF(Conferences!S27="","",Conferences!S27)</f>
        <v>14–17 Oct 2026</v>
      </c>
      <c r="L31" s="15" t="str">
        <f>IF(Conferences!V27="","",Conferences!V27)</f>
        <v>Lviv, Ukraine - Lviv Polytechnic National University with the IEEE Ukraine Section</v>
      </c>
      <c r="M31" s="12">
        <f ca="1">IF(Conferences!X27="","",Conferences!X27)</f>
        <v>-15</v>
      </c>
      <c r="N31" s="19" t="str">
        <f ca="1">IF(Conferences!Y27="","",Conferences!Y27)</f>
        <v>Registration due</v>
      </c>
    </row>
    <row r="32" spans="2:14" ht="24" customHeight="1" x14ac:dyDescent="0.35">
      <c r="B32" s="3">
        <f>IF(Conferences!A28="","",Conferences!A28)</f>
        <v>27</v>
      </c>
      <c r="C32" s="4" t="str">
        <f>IF(Conferences!B28="","",Conferences!B28)</f>
        <v>IT&amp;I</v>
      </c>
      <c r="D32" s="3">
        <f>IF(Conferences!C28="","",Conferences!C28)</f>
        <v>2026</v>
      </c>
      <c r="E32" s="6" t="str">
        <f>IF(Conferences!E28="","",Conferences!E28)</f>
        <v>XIII International Conference “Information Technology and Implementation”</v>
      </c>
      <c r="F32" s="5" t="str">
        <f>IF(Conferences!G28="","",Conferences!G28)</f>
        <v>Mediocre</v>
      </c>
      <c r="G32" s="6" t="str">
        <f>IF(Conferences!K28="","",Conferences!K28)</f>
        <v>Not published</v>
      </c>
      <c r="H32" s="9">
        <f>IF(Conferences!O28="","",Conferences!O28)</f>
        <v>46266</v>
      </c>
      <c r="I32" s="9">
        <f>IF(Conferences!Q28="","",Conferences!Q28)</f>
        <v>46310</v>
      </c>
      <c r="J32" s="9" t="str">
        <f>IF(Conferences!R28="","",Conferences!R28)</f>
        <v/>
      </c>
      <c r="K32" s="6" t="str">
        <f>IF(Conferences!S28="","",Conferences!S28)</f>
        <v>19–20 Nov 2026</v>
      </c>
      <c r="L32" s="6" t="str">
        <f>IF(Conferences!V28="","",Conferences!V28)</f>
        <v>Taras Shevchenko National University of Kyiv, Faculty of Information Technology, 24 B. Havrylyshyna St., Kyiv, Ukraine</v>
      </c>
      <c r="M32" s="3">
        <f ca="1">IF(Conferences!X28="","",Conferences!X28)</f>
        <v>-3</v>
      </c>
      <c r="N32" s="10" t="str">
        <f ca="1">IF(Conferences!Y28="","",Conferences!Y28)</f>
        <v>Camera-ready due</v>
      </c>
    </row>
    <row r="33" spans="2:14" ht="36" customHeight="1" x14ac:dyDescent="0.35">
      <c r="B33" s="12">
        <f>IF(Conferences!A29="","",Conferences!A29)</f>
        <v>28</v>
      </c>
      <c r="C33" s="13" t="str">
        <f>IF(Conferences!B29="","",Conferences!B29)</f>
        <v>MEMSTECH</v>
      </c>
      <c r="D33" s="12">
        <f>IF(Conferences!C29="","",Conferences!C29)</f>
        <v>2027</v>
      </c>
      <c r="E33" s="15" t="str">
        <f>IF(Conferences!E29="","",Conferences!E29)</f>
        <v>IEEE 20th International Conference Perspective Technologies and Methods in MEMS Design</v>
      </c>
      <c r="F33" s="14" t="str">
        <f>IF(Conferences!G29="","",Conferences!G29)</f>
        <v>Mediocre</v>
      </c>
      <c r="G33" s="15" t="str">
        <f>IF(Conferences!K29="","",Conferences!K29)</f>
        <v>Not published (the Fees page does not resolve)</v>
      </c>
      <c r="H33" s="18" t="str">
        <f>IF(Conferences!O29="","",Conferences!O29)</f>
        <v/>
      </c>
      <c r="I33" s="18">
        <f>IF(Conferences!Q29="","",Conferences!Q29)</f>
        <v>46614</v>
      </c>
      <c r="J33" s="18" t="str">
        <f>IF(Conferences!R29="","",Conferences!R29)</f>
        <v/>
      </c>
      <c r="K33" s="15" t="str">
        <f>IF(Conferences!S29="","",Conferences!S29)</f>
        <v>13–16 Oct 2027</v>
      </c>
      <c r="L33" s="15" t="str">
        <f>IF(Conferences!V29="","",Conferences!V29)</f>
        <v>Lviv Polytechnic National University, Lviv, Ukraine</v>
      </c>
      <c r="M33" s="12" t="str">
        <f ca="1">IF(Conferences!X29="","",Conferences!X29)</f>
        <v/>
      </c>
      <c r="N33" s="19" t="str">
        <f ca="1">IF(Conferences!Y29="","",Conferences!Y29)</f>
        <v>Deadline not published</v>
      </c>
    </row>
  </sheetData>
  <autoFilter ref="B5:N33" xr:uid="{00000000-0009-0000-0000-000002000000}"/>
  <conditionalFormatting sqref="F6:F33">
    <cfRule type="expression" dxfId="9" priority="1" stopIfTrue="1">
      <formula>EXACT($F6,"High")</formula>
    </cfRule>
    <cfRule type="expression" dxfId="8" priority="2" stopIfTrue="1">
      <formula>EXACT($F6,"Mediocre")</formula>
    </cfRule>
  </conditionalFormatting>
  <conditionalFormatting sqref="N6:N33">
    <cfRule type="expression" dxfId="7" priority="3" stopIfTrue="1">
      <formula>EXACT($N6,"Open")</formula>
    </cfRule>
    <cfRule type="expression" dxfId="6" priority="4" stopIfTrue="1">
      <formula>EXACT($N6,"Open - closing soon")</formula>
    </cfRule>
    <cfRule type="expression" dxfId="5" priority="5" stopIfTrue="1">
      <formula>EXACT($N6,"Event in progress")</formula>
    </cfRule>
    <cfRule type="expression" dxfId="4" priority="6" stopIfTrue="1">
      <formula>EXACT($N6,"Camera-ready due")</formula>
    </cfRule>
    <cfRule type="expression" dxfId="3" priority="7" stopIfTrue="1">
      <formula>EXACT($N6,"Registration due")</formula>
    </cfRule>
    <cfRule type="expression" dxfId="2" priority="8" stopIfTrue="1">
      <formula>EXACT($N6,"Deadline not published")</formula>
    </cfRule>
    <cfRule type="expression" dxfId="1" priority="9" stopIfTrue="1">
      <formula>EXACT($N6,"Submissions closed - event ahead")</formula>
    </cfRule>
    <cfRule type="expression" dxfId="0" priority="10" stopIfTrue="1">
      <formula>EXACT($N6,"Expired")</formula>
    </cfRule>
  </conditionalFormatting>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F847"/>
  <sheetViews>
    <sheetView showGridLines="0" workbookViewId="0">
      <pane xSplit="2" ySplit="5" topLeftCell="C6" activePane="bottomRight" state="frozen"/>
      <selection pane="topRight"/>
      <selection pane="bottomLeft"/>
      <selection pane="bottomRight"/>
    </sheetView>
  </sheetViews>
  <sheetFormatPr defaultRowHeight="14.5" x14ac:dyDescent="0.35"/>
  <cols>
    <col min="1" max="1" width="2.453125" customWidth="1"/>
    <col min="2" max="2" width="16" customWidth="1"/>
    <col min="3" max="3" width="17" customWidth="1"/>
    <col min="4" max="4" width="26" customWidth="1"/>
    <col min="5" max="5" width="42" customWidth="1"/>
    <col min="6" max="6" width="46" customWidth="1"/>
  </cols>
  <sheetData>
    <row r="2" spans="2:6" ht="18" customHeight="1" x14ac:dyDescent="0.4">
      <c r="B2" s="21" t="s">
        <v>1022</v>
      </c>
    </row>
    <row r="3" spans="2:6" x14ac:dyDescent="0.35">
      <c r="B3" s="22" t="s">
        <v>1023</v>
      </c>
    </row>
    <row r="5" spans="2:6" ht="20" customHeight="1" x14ac:dyDescent="0.35">
      <c r="B5" s="30" t="s">
        <v>1024</v>
      </c>
      <c r="C5" s="30" t="s">
        <v>1</v>
      </c>
      <c r="D5" s="30" t="s">
        <v>1025</v>
      </c>
      <c r="E5" s="30" t="s">
        <v>1026</v>
      </c>
      <c r="F5" s="30" t="s">
        <v>1027</v>
      </c>
    </row>
    <row r="6" spans="2:6" ht="16" customHeight="1" x14ac:dyDescent="0.35">
      <c r="B6" s="31" t="s">
        <v>1028</v>
      </c>
      <c r="C6" s="31" t="s">
        <v>33</v>
      </c>
      <c r="D6" s="31" t="s">
        <v>25</v>
      </c>
      <c r="E6" s="31" t="s">
        <v>1029</v>
      </c>
      <c r="F6" s="31" t="s">
        <v>44</v>
      </c>
    </row>
    <row r="7" spans="2:6" ht="16" customHeight="1" x14ac:dyDescent="0.35">
      <c r="B7" s="31" t="s">
        <v>1028</v>
      </c>
      <c r="C7" s="31" t="s">
        <v>33</v>
      </c>
      <c r="D7" s="31" t="s">
        <v>28</v>
      </c>
      <c r="E7" s="31" t="s">
        <v>132</v>
      </c>
      <c r="F7" s="31" t="s">
        <v>46</v>
      </c>
    </row>
    <row r="8" spans="2:6" ht="16" customHeight="1" x14ac:dyDescent="0.35">
      <c r="B8" s="31" t="s">
        <v>1028</v>
      </c>
      <c r="C8" s="31" t="s">
        <v>33</v>
      </c>
      <c r="D8" s="31" t="s">
        <v>29</v>
      </c>
      <c r="E8" s="31" t="s">
        <v>1030</v>
      </c>
      <c r="F8" s="31" t="s">
        <v>1031</v>
      </c>
    </row>
    <row r="9" spans="2:6" ht="16" customHeight="1" x14ac:dyDescent="0.35">
      <c r="B9" s="31" t="s">
        <v>1028</v>
      </c>
      <c r="C9" s="31" t="s">
        <v>33</v>
      </c>
      <c r="D9" s="31" t="s">
        <v>31</v>
      </c>
      <c r="E9" s="31" t="s">
        <v>1032</v>
      </c>
      <c r="F9" s="31" t="s">
        <v>1033</v>
      </c>
    </row>
    <row r="10" spans="2:6" ht="16" customHeight="1" x14ac:dyDescent="0.35">
      <c r="B10" s="31" t="s">
        <v>1028</v>
      </c>
      <c r="C10" s="31" t="s">
        <v>49</v>
      </c>
      <c r="D10" s="31" t="s">
        <v>3</v>
      </c>
      <c r="E10" s="31" t="s">
        <v>66</v>
      </c>
      <c r="F10" s="31" t="s">
        <v>50</v>
      </c>
    </row>
    <row r="11" spans="2:6" ht="16" customHeight="1" x14ac:dyDescent="0.35">
      <c r="B11" s="31" t="s">
        <v>1028</v>
      </c>
      <c r="C11" s="31" t="s">
        <v>49</v>
      </c>
      <c r="D11" s="31" t="s">
        <v>21</v>
      </c>
      <c r="E11" s="31" t="s">
        <v>694</v>
      </c>
      <c r="F11" s="31" t="s">
        <v>1034</v>
      </c>
    </row>
    <row r="12" spans="2:6" ht="16" customHeight="1" x14ac:dyDescent="0.35">
      <c r="B12" s="31" t="s">
        <v>1028</v>
      </c>
      <c r="C12" s="31" t="s">
        <v>49</v>
      </c>
      <c r="D12" s="31" t="s">
        <v>22</v>
      </c>
      <c r="E12" s="31" t="s">
        <v>115</v>
      </c>
      <c r="F12" s="31" t="s">
        <v>59</v>
      </c>
    </row>
    <row r="13" spans="2:6" ht="16" customHeight="1" x14ac:dyDescent="0.35">
      <c r="B13" s="31" t="s">
        <v>1028</v>
      </c>
      <c r="C13" s="31" t="s">
        <v>49</v>
      </c>
      <c r="D13" s="31" t="s">
        <v>29</v>
      </c>
      <c r="E13" s="31" t="s">
        <v>1035</v>
      </c>
      <c r="F13" s="31" t="s">
        <v>63</v>
      </c>
    </row>
    <row r="14" spans="2:6" ht="16" customHeight="1" x14ac:dyDescent="0.35">
      <c r="B14" s="31" t="s">
        <v>1028</v>
      </c>
      <c r="C14" s="31" t="s">
        <v>49</v>
      </c>
      <c r="D14" s="31" t="s">
        <v>31</v>
      </c>
      <c r="E14" s="31" t="s">
        <v>1036</v>
      </c>
      <c r="F14" s="31" t="s">
        <v>1037</v>
      </c>
    </row>
    <row r="15" spans="2:6" ht="16" customHeight="1" x14ac:dyDescent="0.35">
      <c r="B15" s="31" t="s">
        <v>1028</v>
      </c>
      <c r="C15" s="31" t="s">
        <v>65</v>
      </c>
      <c r="D15" s="31" t="s">
        <v>8</v>
      </c>
      <c r="E15" s="31" t="s">
        <v>389</v>
      </c>
      <c r="F15" s="31" t="s">
        <v>68</v>
      </c>
    </row>
    <row r="16" spans="2:6" ht="16" customHeight="1" x14ac:dyDescent="0.35">
      <c r="B16" s="31" t="s">
        <v>1028</v>
      </c>
      <c r="C16" s="31" t="s">
        <v>65</v>
      </c>
      <c r="D16" s="31" t="s">
        <v>9</v>
      </c>
      <c r="E16" s="31" t="s">
        <v>115</v>
      </c>
      <c r="F16" s="31" t="s">
        <v>1038</v>
      </c>
    </row>
    <row r="17" spans="2:6" ht="16" customHeight="1" x14ac:dyDescent="0.35">
      <c r="B17" s="31" t="s">
        <v>1028</v>
      </c>
      <c r="C17" s="31" t="s">
        <v>65</v>
      </c>
      <c r="D17" s="31" t="s">
        <v>21</v>
      </c>
      <c r="E17" s="31" t="s">
        <v>356</v>
      </c>
      <c r="F17" s="31" t="s">
        <v>1039</v>
      </c>
    </row>
    <row r="18" spans="2:6" ht="16" customHeight="1" x14ac:dyDescent="0.35">
      <c r="B18" s="31" t="s">
        <v>1028</v>
      </c>
      <c r="C18" s="31" t="s">
        <v>65</v>
      </c>
      <c r="D18" s="31" t="s">
        <v>26</v>
      </c>
      <c r="E18" s="31" t="s">
        <v>1040</v>
      </c>
      <c r="F18" s="31" t="s">
        <v>1041</v>
      </c>
    </row>
    <row r="19" spans="2:6" ht="16" customHeight="1" x14ac:dyDescent="0.35">
      <c r="B19" s="31" t="s">
        <v>1028</v>
      </c>
      <c r="C19" s="31" t="s">
        <v>65</v>
      </c>
      <c r="D19" s="31" t="s">
        <v>29</v>
      </c>
      <c r="E19" s="31" t="s">
        <v>1042</v>
      </c>
      <c r="F19" s="31" t="s">
        <v>77</v>
      </c>
    </row>
    <row r="20" spans="2:6" ht="16" customHeight="1" x14ac:dyDescent="0.35">
      <c r="B20" s="31" t="s">
        <v>1028</v>
      </c>
      <c r="C20" s="31" t="s">
        <v>65</v>
      </c>
      <c r="D20" s="31" t="s">
        <v>31</v>
      </c>
      <c r="E20" s="31" t="s">
        <v>1043</v>
      </c>
      <c r="F20" s="31" t="s">
        <v>1044</v>
      </c>
    </row>
    <row r="21" spans="2:6" ht="16" customHeight="1" x14ac:dyDescent="0.35">
      <c r="B21" s="31" t="s">
        <v>1028</v>
      </c>
      <c r="C21" s="31" t="s">
        <v>79</v>
      </c>
      <c r="D21" s="31" t="s">
        <v>21</v>
      </c>
      <c r="E21" s="31" t="s">
        <v>293</v>
      </c>
      <c r="F21" s="31" t="s">
        <v>85</v>
      </c>
    </row>
    <row r="22" spans="2:6" ht="16" customHeight="1" x14ac:dyDescent="0.35">
      <c r="B22" s="31" t="s">
        <v>1028</v>
      </c>
      <c r="C22" s="31" t="s">
        <v>79</v>
      </c>
      <c r="D22" s="31" t="s">
        <v>25</v>
      </c>
      <c r="E22" s="31" t="s">
        <v>1045</v>
      </c>
      <c r="F22" s="31" t="s">
        <v>87</v>
      </c>
    </row>
    <row r="23" spans="2:6" ht="16" customHeight="1" x14ac:dyDescent="0.35">
      <c r="B23" s="31" t="s">
        <v>1028</v>
      </c>
      <c r="C23" s="31" t="s">
        <v>79</v>
      </c>
      <c r="D23" s="31" t="s">
        <v>26</v>
      </c>
      <c r="E23" s="31" t="s">
        <v>1042</v>
      </c>
      <c r="F23" s="31" t="s">
        <v>1046</v>
      </c>
    </row>
    <row r="24" spans="2:6" ht="16" customHeight="1" x14ac:dyDescent="0.35">
      <c r="B24" s="31" t="s">
        <v>1028</v>
      </c>
      <c r="C24" s="31" t="s">
        <v>79</v>
      </c>
      <c r="D24" s="31" t="s">
        <v>28</v>
      </c>
      <c r="E24" s="31" t="s">
        <v>119</v>
      </c>
      <c r="F24" s="31" t="s">
        <v>90</v>
      </c>
    </row>
    <row r="25" spans="2:6" ht="16" customHeight="1" x14ac:dyDescent="0.35">
      <c r="B25" s="31" t="s">
        <v>1028</v>
      </c>
      <c r="C25" s="31" t="s">
        <v>79</v>
      </c>
      <c r="D25" s="31" t="s">
        <v>29</v>
      </c>
      <c r="E25" s="31" t="s">
        <v>1042</v>
      </c>
      <c r="F25" s="31" t="s">
        <v>91</v>
      </c>
    </row>
    <row r="26" spans="2:6" ht="16" customHeight="1" x14ac:dyDescent="0.35">
      <c r="B26" s="31" t="s">
        <v>1028</v>
      </c>
      <c r="C26" s="31" t="s">
        <v>79</v>
      </c>
      <c r="D26" s="31" t="s">
        <v>31</v>
      </c>
      <c r="E26" s="31" t="s">
        <v>1047</v>
      </c>
      <c r="F26" s="31" t="s">
        <v>1048</v>
      </c>
    </row>
    <row r="27" spans="2:6" ht="16" customHeight="1" x14ac:dyDescent="0.35">
      <c r="B27" s="31" t="s">
        <v>1028</v>
      </c>
      <c r="C27" s="31" t="s">
        <v>93</v>
      </c>
      <c r="D27" s="31" t="s">
        <v>25</v>
      </c>
      <c r="E27" s="31" t="s">
        <v>1045</v>
      </c>
      <c r="F27" s="31" t="s">
        <v>101</v>
      </c>
    </row>
    <row r="28" spans="2:6" ht="16" customHeight="1" x14ac:dyDescent="0.35">
      <c r="B28" s="31" t="s">
        <v>1028</v>
      </c>
      <c r="C28" s="31" t="s">
        <v>93</v>
      </c>
      <c r="D28" s="31" t="s">
        <v>26</v>
      </c>
      <c r="E28" s="31" t="s">
        <v>1042</v>
      </c>
      <c r="F28" s="31" t="s">
        <v>1049</v>
      </c>
    </row>
    <row r="29" spans="2:6" ht="16" customHeight="1" x14ac:dyDescent="0.35">
      <c r="B29" s="31" t="s">
        <v>1028</v>
      </c>
      <c r="C29" s="31" t="s">
        <v>93</v>
      </c>
      <c r="D29" s="31" t="s">
        <v>28</v>
      </c>
      <c r="E29" s="31" t="s">
        <v>27</v>
      </c>
      <c r="F29" s="31" t="s">
        <v>104</v>
      </c>
    </row>
    <row r="30" spans="2:6" ht="16" customHeight="1" x14ac:dyDescent="0.35">
      <c r="B30" s="31" t="s">
        <v>1028</v>
      </c>
      <c r="C30" s="31" t="s">
        <v>93</v>
      </c>
      <c r="D30" s="31" t="s">
        <v>29</v>
      </c>
      <c r="E30" s="31" t="s">
        <v>1042</v>
      </c>
      <c r="F30" s="31" t="s">
        <v>105</v>
      </c>
    </row>
    <row r="31" spans="2:6" ht="16" customHeight="1" x14ac:dyDescent="0.35">
      <c r="B31" s="31" t="s">
        <v>1028</v>
      </c>
      <c r="C31" s="31" t="s">
        <v>93</v>
      </c>
      <c r="D31" s="31" t="s">
        <v>31</v>
      </c>
      <c r="E31" s="31" t="s">
        <v>1050</v>
      </c>
      <c r="F31" s="31" t="s">
        <v>1051</v>
      </c>
    </row>
    <row r="32" spans="2:6" ht="16" customHeight="1" x14ac:dyDescent="0.35">
      <c r="B32" s="31" t="s">
        <v>1028</v>
      </c>
      <c r="C32" s="31" t="s">
        <v>107</v>
      </c>
      <c r="D32" s="31" t="s">
        <v>9</v>
      </c>
      <c r="E32" s="31" t="s">
        <v>1052</v>
      </c>
      <c r="F32" s="31" t="s">
        <v>1053</v>
      </c>
    </row>
    <row r="33" spans="2:6" ht="16" customHeight="1" x14ac:dyDescent="0.35">
      <c r="B33" s="31" t="s">
        <v>1028</v>
      </c>
      <c r="C33" s="31" t="s">
        <v>107</v>
      </c>
      <c r="D33" s="31" t="s">
        <v>25</v>
      </c>
      <c r="E33" s="31" t="s">
        <v>115</v>
      </c>
      <c r="F33" s="31" t="s">
        <v>116</v>
      </c>
    </row>
    <row r="34" spans="2:6" ht="16" customHeight="1" x14ac:dyDescent="0.35">
      <c r="B34" s="31" t="s">
        <v>1028</v>
      </c>
      <c r="C34" s="31" t="s">
        <v>107</v>
      </c>
      <c r="D34" s="31" t="s">
        <v>26</v>
      </c>
      <c r="E34" s="31" t="s">
        <v>1042</v>
      </c>
      <c r="F34" s="31" t="s">
        <v>117</v>
      </c>
    </row>
    <row r="35" spans="2:6" ht="16" customHeight="1" x14ac:dyDescent="0.35">
      <c r="B35" s="31" t="s">
        <v>1028</v>
      </c>
      <c r="C35" s="31" t="s">
        <v>107</v>
      </c>
      <c r="D35" s="31" t="s">
        <v>29</v>
      </c>
      <c r="E35" s="31" t="s">
        <v>1042</v>
      </c>
      <c r="F35" s="31" t="s">
        <v>1054</v>
      </c>
    </row>
    <row r="36" spans="2:6" ht="16" customHeight="1" x14ac:dyDescent="0.35">
      <c r="B36" s="31" t="s">
        <v>1028</v>
      </c>
      <c r="C36" s="31" t="s">
        <v>107</v>
      </c>
      <c r="D36" s="31" t="s">
        <v>31</v>
      </c>
      <c r="E36" s="31" t="s">
        <v>1055</v>
      </c>
      <c r="F36" s="31" t="s">
        <v>1056</v>
      </c>
    </row>
    <row r="37" spans="2:6" ht="16" customHeight="1" x14ac:dyDescent="0.35">
      <c r="B37" s="31" t="s">
        <v>1028</v>
      </c>
      <c r="C37" s="31" t="s">
        <v>122</v>
      </c>
      <c r="D37" s="31" t="s">
        <v>21</v>
      </c>
      <c r="E37" s="31" t="s">
        <v>1057</v>
      </c>
      <c r="F37" s="31" t="s">
        <v>128</v>
      </c>
    </row>
    <row r="38" spans="2:6" ht="16" customHeight="1" x14ac:dyDescent="0.35">
      <c r="B38" s="31" t="s">
        <v>1028</v>
      </c>
      <c r="C38" s="31" t="s">
        <v>122</v>
      </c>
      <c r="D38" s="31" t="s">
        <v>29</v>
      </c>
      <c r="E38" s="31" t="s">
        <v>1042</v>
      </c>
      <c r="F38" s="31" t="s">
        <v>133</v>
      </c>
    </row>
    <row r="39" spans="2:6" ht="16" customHeight="1" x14ac:dyDescent="0.35">
      <c r="B39" s="31" t="s">
        <v>1028</v>
      </c>
      <c r="C39" s="31" t="s">
        <v>122</v>
      </c>
      <c r="D39" s="31" t="s">
        <v>31</v>
      </c>
      <c r="E39" s="31" t="s">
        <v>1058</v>
      </c>
      <c r="F39" s="31" t="s">
        <v>1059</v>
      </c>
    </row>
    <row r="40" spans="2:6" ht="16" customHeight="1" x14ac:dyDescent="0.35">
      <c r="B40" s="31" t="s">
        <v>1028</v>
      </c>
      <c r="C40" s="31" t="s">
        <v>135</v>
      </c>
      <c r="D40" s="31" t="s">
        <v>29</v>
      </c>
      <c r="E40" s="31" t="s">
        <v>1042</v>
      </c>
      <c r="F40" s="31" t="s">
        <v>142</v>
      </c>
    </row>
    <row r="41" spans="2:6" ht="16" customHeight="1" x14ac:dyDescent="0.35">
      <c r="B41" s="31" t="s">
        <v>1028</v>
      </c>
      <c r="C41" s="31" t="s">
        <v>135</v>
      </c>
      <c r="D41" s="31" t="s">
        <v>31</v>
      </c>
      <c r="E41" s="31" t="s">
        <v>1060</v>
      </c>
      <c r="F41" s="31" t="s">
        <v>1061</v>
      </c>
    </row>
    <row r="42" spans="2:6" ht="16" customHeight="1" x14ac:dyDescent="0.35">
      <c r="B42" s="31" t="s">
        <v>1028</v>
      </c>
      <c r="C42" s="31" t="s">
        <v>144</v>
      </c>
      <c r="D42" s="31" t="s">
        <v>25</v>
      </c>
      <c r="E42" s="31" t="s">
        <v>540</v>
      </c>
      <c r="F42" s="31" t="s">
        <v>152</v>
      </c>
    </row>
    <row r="43" spans="2:6" ht="16" customHeight="1" x14ac:dyDescent="0.35">
      <c r="B43" s="31" t="s">
        <v>1028</v>
      </c>
      <c r="C43" s="31" t="s">
        <v>144</v>
      </c>
      <c r="D43" s="31" t="s">
        <v>31</v>
      </c>
      <c r="E43" s="31" t="s">
        <v>1062</v>
      </c>
      <c r="F43" s="31" t="s">
        <v>1063</v>
      </c>
    </row>
    <row r="44" spans="2:6" ht="16" customHeight="1" x14ac:dyDescent="0.35">
      <c r="B44" s="31" t="s">
        <v>1028</v>
      </c>
      <c r="C44" s="31" t="s">
        <v>157</v>
      </c>
      <c r="D44" s="31" t="s">
        <v>9</v>
      </c>
      <c r="E44" s="31" t="s">
        <v>1064</v>
      </c>
      <c r="F44" s="31" t="s">
        <v>1065</v>
      </c>
    </row>
    <row r="45" spans="2:6" ht="16" customHeight="1" x14ac:dyDescent="0.35">
      <c r="B45" s="31" t="s">
        <v>1028</v>
      </c>
      <c r="C45" s="31" t="s">
        <v>157</v>
      </c>
      <c r="D45" s="31" t="s">
        <v>10</v>
      </c>
      <c r="E45" s="31" t="s">
        <v>1066</v>
      </c>
      <c r="F45" s="31" t="s">
        <v>1067</v>
      </c>
    </row>
    <row r="46" spans="2:6" ht="16" customHeight="1" x14ac:dyDescent="0.35">
      <c r="B46" s="31" t="s">
        <v>1028</v>
      </c>
      <c r="C46" s="31" t="s">
        <v>157</v>
      </c>
      <c r="D46" s="31" t="s">
        <v>11</v>
      </c>
      <c r="E46" s="31" t="s">
        <v>1068</v>
      </c>
      <c r="F46" s="31" t="s">
        <v>1042</v>
      </c>
    </row>
    <row r="47" spans="2:6" ht="16" customHeight="1" x14ac:dyDescent="0.35">
      <c r="B47" s="31" t="s">
        <v>1028</v>
      </c>
      <c r="C47" s="31" t="s">
        <v>157</v>
      </c>
      <c r="D47" s="31" t="s">
        <v>25</v>
      </c>
      <c r="E47" s="31" t="s">
        <v>540</v>
      </c>
      <c r="F47" s="31" t="s">
        <v>165</v>
      </c>
    </row>
    <row r="48" spans="2:6" ht="16" customHeight="1" x14ac:dyDescent="0.35">
      <c r="B48" s="31" t="s">
        <v>1028</v>
      </c>
      <c r="C48" s="31" t="s">
        <v>157</v>
      </c>
      <c r="D48" s="31" t="s">
        <v>28</v>
      </c>
      <c r="E48" s="31" t="s">
        <v>27</v>
      </c>
      <c r="F48" s="31" t="s">
        <v>168</v>
      </c>
    </row>
    <row r="49" spans="2:6" ht="16" customHeight="1" x14ac:dyDescent="0.35">
      <c r="B49" s="31" t="s">
        <v>1028</v>
      </c>
      <c r="C49" s="31" t="s">
        <v>157</v>
      </c>
      <c r="D49" s="31" t="s">
        <v>29</v>
      </c>
      <c r="E49" s="31" t="s">
        <v>1069</v>
      </c>
      <c r="F49" s="31" t="s">
        <v>1070</v>
      </c>
    </row>
    <row r="50" spans="2:6" ht="16" customHeight="1" x14ac:dyDescent="0.35">
      <c r="B50" s="31" t="s">
        <v>1028</v>
      </c>
      <c r="C50" s="31" t="s">
        <v>157</v>
      </c>
      <c r="D50" s="31" t="s">
        <v>31</v>
      </c>
      <c r="E50" s="31" t="s">
        <v>1071</v>
      </c>
      <c r="F50" s="31" t="s">
        <v>1072</v>
      </c>
    </row>
    <row r="51" spans="2:6" ht="16" customHeight="1" x14ac:dyDescent="0.35">
      <c r="B51" s="31" t="s">
        <v>1028</v>
      </c>
      <c r="C51" s="31" t="s">
        <v>171</v>
      </c>
      <c r="D51" s="31" t="s">
        <v>31</v>
      </c>
      <c r="E51" s="31" t="s">
        <v>1073</v>
      </c>
      <c r="F51" s="31" t="s">
        <v>1074</v>
      </c>
    </row>
    <row r="52" spans="2:6" ht="16" customHeight="1" x14ac:dyDescent="0.35">
      <c r="B52" s="31" t="s">
        <v>1028</v>
      </c>
      <c r="C52" s="31" t="s">
        <v>180</v>
      </c>
      <c r="D52" s="31" t="s">
        <v>9</v>
      </c>
      <c r="E52" s="31" t="s">
        <v>115</v>
      </c>
      <c r="F52" s="31" t="s">
        <v>182</v>
      </c>
    </row>
    <row r="53" spans="2:6" ht="16" customHeight="1" x14ac:dyDescent="0.35">
      <c r="B53" s="31" t="s">
        <v>1028</v>
      </c>
      <c r="C53" s="31" t="s">
        <v>180</v>
      </c>
      <c r="D53" s="31" t="s">
        <v>21</v>
      </c>
      <c r="E53" s="31" t="s">
        <v>1075</v>
      </c>
      <c r="F53" s="31" t="s">
        <v>1076</v>
      </c>
    </row>
    <row r="54" spans="2:6" ht="16" customHeight="1" x14ac:dyDescent="0.35">
      <c r="B54" s="31" t="s">
        <v>1028</v>
      </c>
      <c r="C54" s="31" t="s">
        <v>180</v>
      </c>
      <c r="D54" s="31" t="s">
        <v>22</v>
      </c>
      <c r="E54" s="31" t="s">
        <v>115</v>
      </c>
      <c r="F54" s="31" t="s">
        <v>59</v>
      </c>
    </row>
    <row r="55" spans="2:6" ht="16" customHeight="1" x14ac:dyDescent="0.35">
      <c r="B55" s="31" t="s">
        <v>1028</v>
      </c>
      <c r="C55" s="31" t="s">
        <v>180</v>
      </c>
      <c r="D55" s="31" t="s">
        <v>26</v>
      </c>
      <c r="E55" s="31" t="s">
        <v>1042</v>
      </c>
      <c r="F55" s="31" t="s">
        <v>185</v>
      </c>
    </row>
    <row r="56" spans="2:6" ht="16" customHeight="1" x14ac:dyDescent="0.35">
      <c r="B56" s="31" t="s">
        <v>1028</v>
      </c>
      <c r="C56" s="31" t="s">
        <v>180</v>
      </c>
      <c r="D56" s="31" t="s">
        <v>29</v>
      </c>
      <c r="E56" s="31" t="s">
        <v>1042</v>
      </c>
      <c r="F56" s="31" t="s">
        <v>187</v>
      </c>
    </row>
    <row r="57" spans="2:6" ht="16" customHeight="1" x14ac:dyDescent="0.35">
      <c r="B57" s="31" t="s">
        <v>1028</v>
      </c>
      <c r="C57" s="31" t="s">
        <v>180</v>
      </c>
      <c r="D57" s="31" t="s">
        <v>31</v>
      </c>
      <c r="E57" s="31" t="s">
        <v>1077</v>
      </c>
      <c r="F57" s="31" t="s">
        <v>1078</v>
      </c>
    </row>
    <row r="58" spans="2:6" ht="16" customHeight="1" x14ac:dyDescent="0.35">
      <c r="B58" s="31" t="s">
        <v>1028</v>
      </c>
      <c r="C58" s="31" t="s">
        <v>189</v>
      </c>
      <c r="D58" s="31" t="s">
        <v>4</v>
      </c>
      <c r="E58" s="31" t="s">
        <v>1079</v>
      </c>
      <c r="F58" s="31" t="s">
        <v>190</v>
      </c>
    </row>
    <row r="59" spans="2:6" ht="16" customHeight="1" x14ac:dyDescent="0.35">
      <c r="B59" s="31" t="s">
        <v>1028</v>
      </c>
      <c r="C59" s="31" t="s">
        <v>189</v>
      </c>
      <c r="D59" s="31" t="s">
        <v>14</v>
      </c>
      <c r="E59" s="31" t="s">
        <v>1042</v>
      </c>
      <c r="F59" s="31" t="s">
        <v>1080</v>
      </c>
    </row>
    <row r="60" spans="2:6" ht="16" customHeight="1" x14ac:dyDescent="0.35">
      <c r="B60" s="31" t="s">
        <v>1028</v>
      </c>
      <c r="C60" s="31" t="s">
        <v>189</v>
      </c>
      <c r="D60" s="31" t="s">
        <v>15</v>
      </c>
      <c r="E60" s="31" t="s">
        <v>1042</v>
      </c>
      <c r="F60" s="31" t="s">
        <v>1081</v>
      </c>
    </row>
    <row r="61" spans="2:6" ht="16" customHeight="1" x14ac:dyDescent="0.35">
      <c r="B61" s="31" t="s">
        <v>1028</v>
      </c>
      <c r="C61" s="31" t="s">
        <v>189</v>
      </c>
      <c r="D61" s="31" t="s">
        <v>22</v>
      </c>
      <c r="E61" s="31" t="s">
        <v>115</v>
      </c>
      <c r="F61" s="31" t="s">
        <v>194</v>
      </c>
    </row>
    <row r="62" spans="2:6" ht="16" customHeight="1" x14ac:dyDescent="0.35">
      <c r="B62" s="31" t="s">
        <v>1028</v>
      </c>
      <c r="C62" s="31" t="s">
        <v>189</v>
      </c>
      <c r="D62" s="31" t="s">
        <v>25</v>
      </c>
      <c r="E62" s="31" t="s">
        <v>540</v>
      </c>
      <c r="F62" s="31" t="s">
        <v>195</v>
      </c>
    </row>
    <row r="63" spans="2:6" ht="16" customHeight="1" x14ac:dyDescent="0.35">
      <c r="B63" s="31" t="s">
        <v>1028</v>
      </c>
      <c r="C63" s="31" t="s">
        <v>189</v>
      </c>
      <c r="D63" s="31" t="s">
        <v>26</v>
      </c>
      <c r="E63" s="31" t="s">
        <v>1042</v>
      </c>
      <c r="F63" s="31" t="s">
        <v>1082</v>
      </c>
    </row>
    <row r="64" spans="2:6" ht="16" customHeight="1" x14ac:dyDescent="0.35">
      <c r="B64" s="31" t="s">
        <v>1028</v>
      </c>
      <c r="C64" s="31" t="s">
        <v>189</v>
      </c>
      <c r="D64" s="31" t="s">
        <v>29</v>
      </c>
      <c r="E64" s="31" t="s">
        <v>1083</v>
      </c>
      <c r="F64" s="31" t="s">
        <v>198</v>
      </c>
    </row>
    <row r="65" spans="2:6" ht="16" customHeight="1" x14ac:dyDescent="0.35">
      <c r="B65" s="31" t="s">
        <v>1028</v>
      </c>
      <c r="C65" s="31" t="s">
        <v>189</v>
      </c>
      <c r="D65" s="31" t="s">
        <v>31</v>
      </c>
      <c r="E65" s="31" t="s">
        <v>1084</v>
      </c>
      <c r="F65" s="31" t="s">
        <v>1085</v>
      </c>
    </row>
    <row r="66" spans="2:6" ht="16" customHeight="1" x14ac:dyDescent="0.35">
      <c r="B66" s="31" t="s">
        <v>1028</v>
      </c>
      <c r="C66" s="31" t="s">
        <v>200</v>
      </c>
      <c r="D66" s="31" t="s">
        <v>14</v>
      </c>
      <c r="E66" s="31" t="s">
        <v>1042</v>
      </c>
      <c r="F66" s="31" t="s">
        <v>1080</v>
      </c>
    </row>
    <row r="67" spans="2:6" ht="16" customHeight="1" x14ac:dyDescent="0.35">
      <c r="B67" s="31" t="s">
        <v>1028</v>
      </c>
      <c r="C67" s="31" t="s">
        <v>200</v>
      </c>
      <c r="D67" s="31" t="s">
        <v>15</v>
      </c>
      <c r="E67" s="31" t="s">
        <v>1042</v>
      </c>
      <c r="F67" s="31" t="s">
        <v>1081</v>
      </c>
    </row>
    <row r="68" spans="2:6" ht="16" customHeight="1" x14ac:dyDescent="0.35">
      <c r="B68" s="31" t="s">
        <v>1028</v>
      </c>
      <c r="C68" s="31" t="s">
        <v>200</v>
      </c>
      <c r="D68" s="31" t="s">
        <v>22</v>
      </c>
      <c r="E68" s="31" t="s">
        <v>115</v>
      </c>
      <c r="F68" s="31" t="s">
        <v>194</v>
      </c>
    </row>
    <row r="69" spans="2:6" ht="16" customHeight="1" x14ac:dyDescent="0.35">
      <c r="B69" s="31" t="s">
        <v>1028</v>
      </c>
      <c r="C69" s="31" t="s">
        <v>200</v>
      </c>
      <c r="D69" s="31" t="s">
        <v>25</v>
      </c>
      <c r="E69" s="31" t="s">
        <v>540</v>
      </c>
      <c r="F69" s="31" t="s">
        <v>204</v>
      </c>
    </row>
    <row r="70" spans="2:6" ht="16" customHeight="1" x14ac:dyDescent="0.35">
      <c r="B70" s="31" t="s">
        <v>1028</v>
      </c>
      <c r="C70" s="31" t="s">
        <v>200</v>
      </c>
      <c r="D70" s="31" t="s">
        <v>26</v>
      </c>
      <c r="E70" s="31" t="s">
        <v>1042</v>
      </c>
      <c r="F70" s="31" t="s">
        <v>1086</v>
      </c>
    </row>
    <row r="71" spans="2:6" ht="16" customHeight="1" x14ac:dyDescent="0.35">
      <c r="B71" s="31" t="s">
        <v>1028</v>
      </c>
      <c r="C71" s="31" t="s">
        <v>200</v>
      </c>
      <c r="D71" s="31" t="s">
        <v>29</v>
      </c>
      <c r="E71" s="31" t="s">
        <v>1083</v>
      </c>
      <c r="F71" s="31" t="s">
        <v>207</v>
      </c>
    </row>
    <row r="72" spans="2:6" ht="16" customHeight="1" x14ac:dyDescent="0.35">
      <c r="B72" s="31" t="s">
        <v>1028</v>
      </c>
      <c r="C72" s="31" t="s">
        <v>200</v>
      </c>
      <c r="D72" s="31" t="s">
        <v>31</v>
      </c>
      <c r="E72" s="31" t="s">
        <v>1087</v>
      </c>
      <c r="F72" s="31" t="s">
        <v>1085</v>
      </c>
    </row>
    <row r="73" spans="2:6" ht="16" customHeight="1" x14ac:dyDescent="0.35">
      <c r="B73" s="31" t="s">
        <v>1028</v>
      </c>
      <c r="C73" s="31" t="s">
        <v>209</v>
      </c>
      <c r="D73" s="31" t="s">
        <v>4</v>
      </c>
      <c r="E73" s="31" t="s">
        <v>1088</v>
      </c>
      <c r="F73" s="31" t="s">
        <v>210</v>
      </c>
    </row>
    <row r="74" spans="2:6" ht="16" customHeight="1" x14ac:dyDescent="0.35">
      <c r="B74" s="31" t="s">
        <v>1028</v>
      </c>
      <c r="C74" s="31" t="s">
        <v>209</v>
      </c>
      <c r="D74" s="31" t="s">
        <v>14</v>
      </c>
      <c r="E74" s="31" t="s">
        <v>1042</v>
      </c>
      <c r="F74" s="31" t="s">
        <v>1080</v>
      </c>
    </row>
    <row r="75" spans="2:6" ht="16" customHeight="1" x14ac:dyDescent="0.35">
      <c r="B75" s="31" t="s">
        <v>1028</v>
      </c>
      <c r="C75" s="31" t="s">
        <v>209</v>
      </c>
      <c r="D75" s="31" t="s">
        <v>15</v>
      </c>
      <c r="E75" s="31" t="s">
        <v>1042</v>
      </c>
      <c r="F75" s="31" t="s">
        <v>1081</v>
      </c>
    </row>
    <row r="76" spans="2:6" ht="16" customHeight="1" x14ac:dyDescent="0.35">
      <c r="B76" s="31" t="s">
        <v>1028</v>
      </c>
      <c r="C76" s="31" t="s">
        <v>209</v>
      </c>
      <c r="D76" s="31" t="s">
        <v>22</v>
      </c>
      <c r="E76" s="31" t="s">
        <v>115</v>
      </c>
      <c r="F76" s="31" t="s">
        <v>194</v>
      </c>
    </row>
    <row r="77" spans="2:6" ht="16" customHeight="1" x14ac:dyDescent="0.35">
      <c r="B77" s="31" t="s">
        <v>1028</v>
      </c>
      <c r="C77" s="31" t="s">
        <v>209</v>
      </c>
      <c r="D77" s="31" t="s">
        <v>25</v>
      </c>
      <c r="E77" s="31" t="s">
        <v>540</v>
      </c>
      <c r="F77" s="31" t="s">
        <v>212</v>
      </c>
    </row>
    <row r="78" spans="2:6" ht="16" customHeight="1" x14ac:dyDescent="0.35">
      <c r="B78" s="31" t="s">
        <v>1028</v>
      </c>
      <c r="C78" s="31" t="s">
        <v>209</v>
      </c>
      <c r="D78" s="31" t="s">
        <v>26</v>
      </c>
      <c r="E78" s="31" t="s">
        <v>1042</v>
      </c>
      <c r="F78" s="31" t="s">
        <v>1082</v>
      </c>
    </row>
    <row r="79" spans="2:6" ht="16" customHeight="1" x14ac:dyDescent="0.35">
      <c r="B79" s="31" t="s">
        <v>1028</v>
      </c>
      <c r="C79" s="31" t="s">
        <v>209</v>
      </c>
      <c r="D79" s="31" t="s">
        <v>29</v>
      </c>
      <c r="E79" s="31" t="s">
        <v>1083</v>
      </c>
      <c r="F79" s="31" t="s">
        <v>214</v>
      </c>
    </row>
    <row r="80" spans="2:6" ht="16" customHeight="1" x14ac:dyDescent="0.35">
      <c r="B80" s="31" t="s">
        <v>1028</v>
      </c>
      <c r="C80" s="31" t="s">
        <v>209</v>
      </c>
      <c r="D80" s="31" t="s">
        <v>31</v>
      </c>
      <c r="E80" s="31" t="s">
        <v>1089</v>
      </c>
      <c r="F80" s="31" t="s">
        <v>1085</v>
      </c>
    </row>
    <row r="81" spans="2:6" ht="16" customHeight="1" x14ac:dyDescent="0.35">
      <c r="B81" s="31" t="s">
        <v>1028</v>
      </c>
      <c r="C81" s="31" t="s">
        <v>216</v>
      </c>
      <c r="D81" s="31" t="s">
        <v>9</v>
      </c>
      <c r="E81" s="31" t="s">
        <v>1090</v>
      </c>
      <c r="F81" s="31" t="s">
        <v>220</v>
      </c>
    </row>
    <row r="82" spans="2:6" ht="16" customHeight="1" x14ac:dyDescent="0.35">
      <c r="B82" s="31" t="s">
        <v>1028</v>
      </c>
      <c r="C82" s="31" t="s">
        <v>216</v>
      </c>
      <c r="D82" s="31" t="s">
        <v>21</v>
      </c>
      <c r="E82" s="31" t="s">
        <v>1091</v>
      </c>
      <c r="F82" s="31" t="s">
        <v>223</v>
      </c>
    </row>
    <row r="83" spans="2:6" ht="16" customHeight="1" x14ac:dyDescent="0.35">
      <c r="B83" s="31" t="s">
        <v>1028</v>
      </c>
      <c r="C83" s="31" t="s">
        <v>216</v>
      </c>
      <c r="D83" s="31" t="s">
        <v>31</v>
      </c>
      <c r="E83" s="31" t="s">
        <v>1092</v>
      </c>
      <c r="F83" s="31" t="s">
        <v>1093</v>
      </c>
    </row>
    <row r="84" spans="2:6" ht="16" customHeight="1" x14ac:dyDescent="0.35">
      <c r="B84" s="31" t="s">
        <v>1028</v>
      </c>
      <c r="C84" s="31" t="s">
        <v>226</v>
      </c>
      <c r="D84" s="31" t="s">
        <v>17</v>
      </c>
      <c r="E84" s="31" t="s">
        <v>1042</v>
      </c>
      <c r="F84" s="31" t="s">
        <v>1094</v>
      </c>
    </row>
    <row r="85" spans="2:6" ht="60" customHeight="1" x14ac:dyDescent="0.35">
      <c r="B85" s="31" t="s">
        <v>1028</v>
      </c>
      <c r="C85" s="31" t="s">
        <v>226</v>
      </c>
      <c r="D85" s="31" t="s">
        <v>21</v>
      </c>
      <c r="E85" s="31" t="s">
        <v>1095</v>
      </c>
      <c r="F85" s="31" t="s">
        <v>231</v>
      </c>
    </row>
    <row r="86" spans="2:6" ht="16" customHeight="1" x14ac:dyDescent="0.35">
      <c r="B86" s="31" t="s">
        <v>1028</v>
      </c>
      <c r="C86" s="31" t="s">
        <v>226</v>
      </c>
      <c r="D86" s="31" t="s">
        <v>31</v>
      </c>
      <c r="E86" s="31" t="s">
        <v>1096</v>
      </c>
      <c r="F86" s="31" t="s">
        <v>1097</v>
      </c>
    </row>
    <row r="87" spans="2:6" ht="16" customHeight="1" x14ac:dyDescent="0.35">
      <c r="B87" s="31" t="s">
        <v>1028</v>
      </c>
      <c r="C87" s="31" t="s">
        <v>236</v>
      </c>
      <c r="D87" s="31" t="s">
        <v>17</v>
      </c>
      <c r="E87" s="31" t="s">
        <v>1098</v>
      </c>
      <c r="F87" s="31" t="s">
        <v>1099</v>
      </c>
    </row>
    <row r="88" spans="2:6" ht="16" customHeight="1" x14ac:dyDescent="0.35">
      <c r="B88" s="31" t="s">
        <v>1028</v>
      </c>
      <c r="C88" s="31" t="s">
        <v>236</v>
      </c>
      <c r="D88" s="31" t="s">
        <v>21</v>
      </c>
      <c r="E88" s="31" t="s">
        <v>1100</v>
      </c>
      <c r="F88" s="31" t="s">
        <v>242</v>
      </c>
    </row>
    <row r="89" spans="2:6" ht="16" customHeight="1" x14ac:dyDescent="0.35">
      <c r="B89" s="31" t="s">
        <v>1028</v>
      </c>
      <c r="C89" s="31" t="s">
        <v>236</v>
      </c>
      <c r="D89" s="31" t="s">
        <v>9</v>
      </c>
      <c r="E89" s="31" t="s">
        <v>1101</v>
      </c>
      <c r="F89" s="31" t="s">
        <v>239</v>
      </c>
    </row>
    <row r="90" spans="2:6" ht="24" customHeight="1" x14ac:dyDescent="0.35">
      <c r="B90" s="31" t="s">
        <v>1028</v>
      </c>
      <c r="C90" s="31" t="s">
        <v>236</v>
      </c>
      <c r="D90" s="31" t="s">
        <v>25</v>
      </c>
      <c r="E90" s="31" t="s">
        <v>115</v>
      </c>
      <c r="F90" s="31" t="s">
        <v>243</v>
      </c>
    </row>
    <row r="91" spans="2:6" ht="16" customHeight="1" x14ac:dyDescent="0.35">
      <c r="B91" s="31" t="s">
        <v>1028</v>
      </c>
      <c r="C91" s="31" t="s">
        <v>236</v>
      </c>
      <c r="D91" s="31" t="s">
        <v>26</v>
      </c>
      <c r="E91" s="31" t="s">
        <v>1042</v>
      </c>
      <c r="F91" s="31" t="s">
        <v>1102</v>
      </c>
    </row>
    <row r="92" spans="2:6" ht="16" customHeight="1" x14ac:dyDescent="0.35">
      <c r="B92" s="31" t="s">
        <v>1028</v>
      </c>
      <c r="C92" s="31" t="s">
        <v>236</v>
      </c>
      <c r="D92" s="31" t="s">
        <v>29</v>
      </c>
      <c r="E92" s="31" t="s">
        <v>1042</v>
      </c>
      <c r="F92" s="31" t="s">
        <v>246</v>
      </c>
    </row>
    <row r="93" spans="2:6" ht="24" customHeight="1" x14ac:dyDescent="0.35">
      <c r="B93" s="31" t="s">
        <v>1028</v>
      </c>
      <c r="C93" s="31" t="s">
        <v>236</v>
      </c>
      <c r="D93" s="31" t="s">
        <v>31</v>
      </c>
      <c r="E93" s="31" t="s">
        <v>1103</v>
      </c>
      <c r="F93" s="31" t="s">
        <v>1104</v>
      </c>
    </row>
    <row r="94" spans="2:6" ht="16" customHeight="1" x14ac:dyDescent="0.35">
      <c r="B94" s="31" t="s">
        <v>1028</v>
      </c>
      <c r="C94" s="31" t="s">
        <v>248</v>
      </c>
      <c r="D94" s="31" t="s">
        <v>21</v>
      </c>
      <c r="E94" s="31" t="s">
        <v>1105</v>
      </c>
      <c r="F94" s="31" t="s">
        <v>253</v>
      </c>
    </row>
    <row r="95" spans="2:6" ht="16" customHeight="1" x14ac:dyDescent="0.35">
      <c r="B95" s="31" t="s">
        <v>1028</v>
      </c>
      <c r="C95" s="31" t="s">
        <v>248</v>
      </c>
      <c r="D95" s="31" t="s">
        <v>25</v>
      </c>
      <c r="E95" s="31" t="s">
        <v>1106</v>
      </c>
      <c r="F95" s="31" t="s">
        <v>254</v>
      </c>
    </row>
    <row r="96" spans="2:6" ht="16" customHeight="1" x14ac:dyDescent="0.35">
      <c r="B96" s="31" t="s">
        <v>1028</v>
      </c>
      <c r="C96" s="31" t="s">
        <v>248</v>
      </c>
      <c r="D96" s="31" t="s">
        <v>26</v>
      </c>
      <c r="E96" s="31" t="s">
        <v>1042</v>
      </c>
      <c r="F96" s="31" t="s">
        <v>1107</v>
      </c>
    </row>
    <row r="97" spans="2:6" ht="24" customHeight="1" x14ac:dyDescent="0.35">
      <c r="B97" s="31" t="s">
        <v>1028</v>
      </c>
      <c r="C97" s="31" t="s">
        <v>248</v>
      </c>
      <c r="D97" s="31" t="s">
        <v>29</v>
      </c>
      <c r="E97" s="31" t="s">
        <v>1042</v>
      </c>
      <c r="F97" s="31" t="s">
        <v>257</v>
      </c>
    </row>
    <row r="98" spans="2:6" ht="16" customHeight="1" x14ac:dyDescent="0.35">
      <c r="B98" s="31" t="s">
        <v>1028</v>
      </c>
      <c r="C98" s="31" t="s">
        <v>248</v>
      </c>
      <c r="D98" s="31" t="s">
        <v>31</v>
      </c>
      <c r="E98" s="31" t="s">
        <v>1108</v>
      </c>
      <c r="F98" s="31" t="s">
        <v>1109</v>
      </c>
    </row>
    <row r="99" spans="2:6" ht="16" customHeight="1" x14ac:dyDescent="0.35">
      <c r="B99" s="31" t="s">
        <v>1028</v>
      </c>
      <c r="C99" s="31" t="s">
        <v>259</v>
      </c>
      <c r="D99" s="31" t="s">
        <v>21</v>
      </c>
      <c r="E99" s="31" t="s">
        <v>1110</v>
      </c>
      <c r="F99" s="31" t="s">
        <v>264</v>
      </c>
    </row>
    <row r="100" spans="2:6" ht="16" customHeight="1" x14ac:dyDescent="0.35">
      <c r="B100" s="31" t="s">
        <v>1028</v>
      </c>
      <c r="C100" s="31" t="s">
        <v>259</v>
      </c>
      <c r="D100" s="31" t="s">
        <v>25</v>
      </c>
      <c r="E100" s="31" t="s">
        <v>1106</v>
      </c>
      <c r="F100" s="31" t="s">
        <v>254</v>
      </c>
    </row>
    <row r="101" spans="2:6" ht="16" customHeight="1" x14ac:dyDescent="0.35">
      <c r="B101" s="31" t="s">
        <v>1028</v>
      </c>
      <c r="C101" s="31" t="s">
        <v>259</v>
      </c>
      <c r="D101" s="31" t="s">
        <v>26</v>
      </c>
      <c r="E101" s="31" t="s">
        <v>1111</v>
      </c>
      <c r="F101" s="31" t="s">
        <v>1112</v>
      </c>
    </row>
    <row r="102" spans="2:6" ht="16" customHeight="1" x14ac:dyDescent="0.35">
      <c r="B102" s="31" t="s">
        <v>1028</v>
      </c>
      <c r="C102" s="31" t="s">
        <v>259</v>
      </c>
      <c r="D102" s="31" t="s">
        <v>29</v>
      </c>
      <c r="E102" s="31" t="s">
        <v>1042</v>
      </c>
      <c r="F102" s="31" t="s">
        <v>257</v>
      </c>
    </row>
    <row r="103" spans="2:6" ht="16" customHeight="1" x14ac:dyDescent="0.35">
      <c r="B103" s="31" t="s">
        <v>1028</v>
      </c>
      <c r="C103" s="31" t="s">
        <v>259</v>
      </c>
      <c r="D103" s="31" t="s">
        <v>31</v>
      </c>
      <c r="E103" s="31" t="s">
        <v>1113</v>
      </c>
      <c r="F103" s="31" t="s">
        <v>1109</v>
      </c>
    </row>
    <row r="104" spans="2:6" ht="48" customHeight="1" x14ac:dyDescent="0.35">
      <c r="B104" s="31" t="s">
        <v>1028</v>
      </c>
      <c r="C104" s="31" t="s">
        <v>267</v>
      </c>
      <c r="D104" s="31" t="s">
        <v>21</v>
      </c>
      <c r="E104" s="31" t="s">
        <v>307</v>
      </c>
      <c r="F104" s="31" t="s">
        <v>1114</v>
      </c>
    </row>
    <row r="105" spans="2:6" ht="16" customHeight="1" x14ac:dyDescent="0.35">
      <c r="B105" s="31" t="s">
        <v>1028</v>
      </c>
      <c r="C105" s="31" t="s">
        <v>267</v>
      </c>
      <c r="D105" s="31" t="s">
        <v>25</v>
      </c>
      <c r="E105" s="31" t="s">
        <v>1115</v>
      </c>
      <c r="F105" s="31" t="s">
        <v>272</v>
      </c>
    </row>
    <row r="106" spans="2:6" ht="16" customHeight="1" x14ac:dyDescent="0.35">
      <c r="B106" s="31" t="s">
        <v>1028</v>
      </c>
      <c r="C106" s="31" t="s">
        <v>267</v>
      </c>
      <c r="D106" s="31" t="s">
        <v>26</v>
      </c>
      <c r="E106" s="31" t="s">
        <v>1116</v>
      </c>
      <c r="F106" s="31" t="s">
        <v>1117</v>
      </c>
    </row>
    <row r="107" spans="2:6" ht="16" customHeight="1" x14ac:dyDescent="0.35">
      <c r="B107" s="31" t="s">
        <v>1028</v>
      </c>
      <c r="C107" s="31" t="s">
        <v>267</v>
      </c>
      <c r="D107" s="31" t="s">
        <v>29</v>
      </c>
      <c r="E107" s="31" t="s">
        <v>1042</v>
      </c>
      <c r="F107" s="31" t="s">
        <v>275</v>
      </c>
    </row>
    <row r="108" spans="2:6" ht="24" customHeight="1" x14ac:dyDescent="0.35">
      <c r="B108" s="31" t="s">
        <v>1028</v>
      </c>
      <c r="C108" s="31" t="s">
        <v>267</v>
      </c>
      <c r="D108" s="31" t="s">
        <v>31</v>
      </c>
      <c r="E108" s="31" t="s">
        <v>1118</v>
      </c>
      <c r="F108" s="31" t="s">
        <v>1119</v>
      </c>
    </row>
    <row r="109" spans="2:6" ht="16" customHeight="1" x14ac:dyDescent="0.35">
      <c r="B109" s="31" t="s">
        <v>1028</v>
      </c>
      <c r="C109" s="31" t="s">
        <v>277</v>
      </c>
      <c r="D109" s="31" t="s">
        <v>8</v>
      </c>
      <c r="E109" s="31" t="s">
        <v>110</v>
      </c>
      <c r="F109" s="31" t="s">
        <v>38</v>
      </c>
    </row>
    <row r="110" spans="2:6" ht="24" customHeight="1" x14ac:dyDescent="0.35">
      <c r="B110" s="31" t="s">
        <v>1028</v>
      </c>
      <c r="C110" s="31" t="s">
        <v>277</v>
      </c>
      <c r="D110" s="31" t="s">
        <v>9</v>
      </c>
      <c r="E110" s="31" t="s">
        <v>1052</v>
      </c>
      <c r="F110" s="31" t="s">
        <v>1120</v>
      </c>
    </row>
    <row r="111" spans="2:6" ht="16" customHeight="1" x14ac:dyDescent="0.35">
      <c r="B111" s="31" t="s">
        <v>1028</v>
      </c>
      <c r="C111" s="31" t="s">
        <v>277</v>
      </c>
      <c r="D111" s="31" t="s">
        <v>29</v>
      </c>
      <c r="E111" s="31" t="s">
        <v>1042</v>
      </c>
      <c r="F111" s="31" t="s">
        <v>1121</v>
      </c>
    </row>
    <row r="112" spans="2:6" ht="36" customHeight="1" x14ac:dyDescent="0.35">
      <c r="B112" s="31" t="s">
        <v>1028</v>
      </c>
      <c r="C112" s="31" t="s">
        <v>277</v>
      </c>
      <c r="D112" s="31" t="s">
        <v>31</v>
      </c>
      <c r="E112" s="31" t="s">
        <v>1122</v>
      </c>
      <c r="F112" s="31" t="s">
        <v>1123</v>
      </c>
    </row>
    <row r="113" spans="2:6" ht="24" customHeight="1" x14ac:dyDescent="0.35">
      <c r="B113" s="31" t="s">
        <v>1028</v>
      </c>
      <c r="C113" s="31" t="s">
        <v>287</v>
      </c>
      <c r="D113" s="31" t="s">
        <v>22</v>
      </c>
      <c r="E113" s="31" t="s">
        <v>1124</v>
      </c>
      <c r="F113" s="31" t="s">
        <v>294</v>
      </c>
    </row>
    <row r="114" spans="2:6" ht="16" customHeight="1" x14ac:dyDescent="0.35">
      <c r="B114" s="31" t="s">
        <v>1028</v>
      </c>
      <c r="C114" s="31" t="s">
        <v>287</v>
      </c>
      <c r="D114" s="31" t="s">
        <v>25</v>
      </c>
      <c r="E114" s="31" t="s">
        <v>115</v>
      </c>
      <c r="F114" s="31" t="s">
        <v>295</v>
      </c>
    </row>
    <row r="115" spans="2:6" ht="16" customHeight="1" x14ac:dyDescent="0.35">
      <c r="B115" s="31" t="s">
        <v>1028</v>
      </c>
      <c r="C115" s="31" t="s">
        <v>287</v>
      </c>
      <c r="D115" s="31" t="s">
        <v>26</v>
      </c>
      <c r="E115" s="31" t="s">
        <v>1125</v>
      </c>
      <c r="F115" s="31" t="s">
        <v>1126</v>
      </c>
    </row>
    <row r="116" spans="2:6" ht="24" customHeight="1" x14ac:dyDescent="0.35">
      <c r="B116" s="31" t="s">
        <v>1028</v>
      </c>
      <c r="C116" s="31" t="s">
        <v>287</v>
      </c>
      <c r="D116" s="31" t="s">
        <v>28</v>
      </c>
      <c r="E116" s="31" t="s">
        <v>119</v>
      </c>
      <c r="F116" s="31" t="s">
        <v>90</v>
      </c>
    </row>
    <row r="117" spans="2:6" ht="16" customHeight="1" x14ac:dyDescent="0.35">
      <c r="B117" s="31" t="s">
        <v>1028</v>
      </c>
      <c r="C117" s="31" t="s">
        <v>287</v>
      </c>
      <c r="D117" s="31" t="s">
        <v>29</v>
      </c>
      <c r="E117" s="31" t="s">
        <v>1042</v>
      </c>
      <c r="F117" s="31" t="s">
        <v>298</v>
      </c>
    </row>
    <row r="118" spans="2:6" ht="36" customHeight="1" x14ac:dyDescent="0.35">
      <c r="B118" s="31" t="s">
        <v>1028</v>
      </c>
      <c r="C118" s="31" t="s">
        <v>287</v>
      </c>
      <c r="D118" s="31" t="s">
        <v>31</v>
      </c>
      <c r="E118" s="31" t="s">
        <v>1127</v>
      </c>
      <c r="F118" s="31" t="s">
        <v>1128</v>
      </c>
    </row>
    <row r="119" spans="2:6" ht="36" customHeight="1" x14ac:dyDescent="0.35">
      <c r="B119" s="31" t="s">
        <v>1028</v>
      </c>
      <c r="C119" s="31" t="s">
        <v>300</v>
      </c>
      <c r="D119" s="31" t="s">
        <v>15</v>
      </c>
      <c r="E119" s="31" t="s">
        <v>1042</v>
      </c>
      <c r="F119" s="31" t="s">
        <v>1129</v>
      </c>
    </row>
    <row r="120" spans="2:6" ht="48" customHeight="1" x14ac:dyDescent="0.35">
      <c r="B120" s="31" t="s">
        <v>1028</v>
      </c>
      <c r="C120" s="31" t="s">
        <v>300</v>
      </c>
      <c r="D120" s="31" t="s">
        <v>16</v>
      </c>
      <c r="E120" s="31" t="s">
        <v>1042</v>
      </c>
      <c r="F120" s="31" t="s">
        <v>1130</v>
      </c>
    </row>
    <row r="121" spans="2:6" ht="16" customHeight="1" x14ac:dyDescent="0.35">
      <c r="B121" s="31" t="s">
        <v>1028</v>
      </c>
      <c r="C121" s="31" t="s">
        <v>300</v>
      </c>
      <c r="D121" s="31" t="s">
        <v>17</v>
      </c>
      <c r="E121" s="31" t="s">
        <v>1042</v>
      </c>
      <c r="F121" s="31" t="s">
        <v>1099</v>
      </c>
    </row>
    <row r="122" spans="2:6" ht="16" customHeight="1" x14ac:dyDescent="0.35">
      <c r="B122" s="31" t="s">
        <v>1028</v>
      </c>
      <c r="C122" s="31" t="s">
        <v>300</v>
      </c>
      <c r="D122" s="31" t="s">
        <v>8</v>
      </c>
      <c r="E122" s="31" t="s">
        <v>53</v>
      </c>
      <c r="F122" s="31" t="s">
        <v>303</v>
      </c>
    </row>
    <row r="123" spans="2:6" ht="16" customHeight="1" x14ac:dyDescent="0.35">
      <c r="B123" s="31" t="s">
        <v>1028</v>
      </c>
      <c r="C123" s="31" t="s">
        <v>300</v>
      </c>
      <c r="D123" s="31" t="s">
        <v>9</v>
      </c>
      <c r="E123" s="31" t="s">
        <v>115</v>
      </c>
      <c r="F123" s="31" t="s">
        <v>1131</v>
      </c>
    </row>
    <row r="124" spans="2:6" ht="16" customHeight="1" x14ac:dyDescent="0.35">
      <c r="B124" s="31" t="s">
        <v>1028</v>
      </c>
      <c r="C124" s="31" t="s">
        <v>300</v>
      </c>
      <c r="D124" s="31" t="s">
        <v>22</v>
      </c>
      <c r="E124" s="31" t="s">
        <v>115</v>
      </c>
      <c r="F124" s="31" t="s">
        <v>308</v>
      </c>
    </row>
    <row r="125" spans="2:6" ht="16" customHeight="1" x14ac:dyDescent="0.35">
      <c r="B125" s="31" t="s">
        <v>1028</v>
      </c>
      <c r="C125" s="31" t="s">
        <v>300</v>
      </c>
      <c r="D125" s="31" t="s">
        <v>25</v>
      </c>
      <c r="E125" s="31" t="s">
        <v>1132</v>
      </c>
      <c r="F125" s="31" t="s">
        <v>309</v>
      </c>
    </row>
    <row r="126" spans="2:6" ht="24" customHeight="1" x14ac:dyDescent="0.35">
      <c r="B126" s="31" t="s">
        <v>1028</v>
      </c>
      <c r="C126" s="31" t="s">
        <v>300</v>
      </c>
      <c r="D126" s="31" t="s">
        <v>26</v>
      </c>
      <c r="E126" s="31" t="s">
        <v>1133</v>
      </c>
      <c r="F126" s="31" t="s">
        <v>1134</v>
      </c>
    </row>
    <row r="127" spans="2:6" ht="16" customHeight="1" x14ac:dyDescent="0.35">
      <c r="B127" s="31" t="s">
        <v>1028</v>
      </c>
      <c r="C127" s="31" t="s">
        <v>300</v>
      </c>
      <c r="D127" s="31" t="s">
        <v>29</v>
      </c>
      <c r="E127" s="31" t="s">
        <v>1042</v>
      </c>
      <c r="F127" s="31" t="s">
        <v>312</v>
      </c>
    </row>
    <row r="128" spans="2:6" ht="24" customHeight="1" x14ac:dyDescent="0.35">
      <c r="B128" s="31" t="s">
        <v>1028</v>
      </c>
      <c r="C128" s="31" t="s">
        <v>300</v>
      </c>
      <c r="D128" s="31" t="s">
        <v>31</v>
      </c>
      <c r="E128" s="31" t="s">
        <v>1135</v>
      </c>
      <c r="F128" s="31" t="s">
        <v>1136</v>
      </c>
    </row>
    <row r="129" spans="2:6" ht="16" customHeight="1" x14ac:dyDescent="0.35">
      <c r="B129" s="31" t="s">
        <v>1028</v>
      </c>
      <c r="C129" s="31" t="s">
        <v>314</v>
      </c>
      <c r="D129" s="31" t="s">
        <v>10</v>
      </c>
      <c r="E129" s="31" t="s">
        <v>1137</v>
      </c>
      <c r="F129" s="31" t="s">
        <v>1138</v>
      </c>
    </row>
    <row r="130" spans="2:6" ht="16" customHeight="1" x14ac:dyDescent="0.35">
      <c r="B130" s="31" t="s">
        <v>1028</v>
      </c>
      <c r="C130" s="31" t="s">
        <v>314</v>
      </c>
      <c r="D130" s="31" t="s">
        <v>11</v>
      </c>
      <c r="E130" s="31" t="s">
        <v>1042</v>
      </c>
      <c r="F130" s="31" t="s">
        <v>1139</v>
      </c>
    </row>
    <row r="131" spans="2:6" ht="16" customHeight="1" x14ac:dyDescent="0.35">
      <c r="B131" s="31" t="s">
        <v>1028</v>
      </c>
      <c r="C131" s="31" t="s">
        <v>314</v>
      </c>
      <c r="D131" s="31" t="s">
        <v>12</v>
      </c>
      <c r="E131" s="31" t="s">
        <v>1042</v>
      </c>
      <c r="F131" s="31" t="s">
        <v>162</v>
      </c>
    </row>
    <row r="132" spans="2:6" ht="24" customHeight="1" x14ac:dyDescent="0.35">
      <c r="B132" s="31" t="s">
        <v>1028</v>
      </c>
      <c r="C132" s="31" t="s">
        <v>314</v>
      </c>
      <c r="D132" s="31" t="s">
        <v>21</v>
      </c>
      <c r="E132" s="31" t="s">
        <v>1140</v>
      </c>
      <c r="F132" s="31" t="s">
        <v>1141</v>
      </c>
    </row>
    <row r="133" spans="2:6" ht="60" customHeight="1" x14ac:dyDescent="0.35">
      <c r="B133" s="31" t="s">
        <v>1028</v>
      </c>
      <c r="C133" s="31" t="s">
        <v>314</v>
      </c>
      <c r="D133" s="31" t="s">
        <v>22</v>
      </c>
      <c r="E133" s="31" t="s">
        <v>115</v>
      </c>
      <c r="F133" s="31" t="s">
        <v>321</v>
      </c>
    </row>
    <row r="134" spans="2:6" ht="24" customHeight="1" x14ac:dyDescent="0.35">
      <c r="B134" s="31" t="s">
        <v>1028</v>
      </c>
      <c r="C134" s="31" t="s">
        <v>314</v>
      </c>
      <c r="D134" s="31" t="s">
        <v>9</v>
      </c>
      <c r="E134" s="31" t="s">
        <v>381</v>
      </c>
      <c r="F134" s="31" t="s">
        <v>1142</v>
      </c>
    </row>
    <row r="135" spans="2:6" ht="16" customHeight="1" x14ac:dyDescent="0.35">
      <c r="B135" s="31" t="s">
        <v>1028</v>
      </c>
      <c r="C135" s="31" t="s">
        <v>314</v>
      </c>
      <c r="D135" s="31" t="s">
        <v>25</v>
      </c>
      <c r="E135" s="31" t="s">
        <v>115</v>
      </c>
      <c r="F135" s="31" t="s">
        <v>322</v>
      </c>
    </row>
    <row r="136" spans="2:6" ht="16" customHeight="1" x14ac:dyDescent="0.35">
      <c r="B136" s="31" t="s">
        <v>1028</v>
      </c>
      <c r="C136" s="31" t="s">
        <v>314</v>
      </c>
      <c r="D136" s="31" t="s">
        <v>26</v>
      </c>
      <c r="E136" s="31" t="s">
        <v>1042</v>
      </c>
      <c r="F136" s="31" t="s">
        <v>1143</v>
      </c>
    </row>
    <row r="137" spans="2:6" ht="16" customHeight="1" x14ac:dyDescent="0.35">
      <c r="B137" s="31" t="s">
        <v>1028</v>
      </c>
      <c r="C137" s="31" t="s">
        <v>314</v>
      </c>
      <c r="D137" s="31" t="s">
        <v>29</v>
      </c>
      <c r="E137" s="31" t="s">
        <v>1042</v>
      </c>
      <c r="F137" s="31" t="s">
        <v>325</v>
      </c>
    </row>
    <row r="138" spans="2:6" ht="16" customHeight="1" x14ac:dyDescent="0.35">
      <c r="B138" s="31" t="s">
        <v>1028</v>
      </c>
      <c r="C138" s="31" t="s">
        <v>314</v>
      </c>
      <c r="D138" s="31" t="s">
        <v>31</v>
      </c>
      <c r="E138" s="31" t="s">
        <v>1144</v>
      </c>
      <c r="F138" s="31" t="s">
        <v>1145</v>
      </c>
    </row>
    <row r="139" spans="2:6" ht="24" customHeight="1" x14ac:dyDescent="0.35">
      <c r="B139" s="31" t="s">
        <v>1028</v>
      </c>
      <c r="C139" s="31" t="s">
        <v>327</v>
      </c>
      <c r="D139" s="31" t="s">
        <v>22</v>
      </c>
      <c r="E139" s="31" t="s">
        <v>115</v>
      </c>
      <c r="F139" s="31" t="s">
        <v>86</v>
      </c>
    </row>
    <row r="140" spans="2:6" ht="24" customHeight="1" x14ac:dyDescent="0.35">
      <c r="B140" s="31" t="s">
        <v>1028</v>
      </c>
      <c r="C140" s="31" t="s">
        <v>327</v>
      </c>
      <c r="D140" s="31" t="s">
        <v>9</v>
      </c>
      <c r="E140" s="31" t="s">
        <v>609</v>
      </c>
      <c r="F140" s="31" t="s">
        <v>330</v>
      </c>
    </row>
    <row r="141" spans="2:6" ht="16" customHeight="1" x14ac:dyDescent="0.35">
      <c r="B141" s="31" t="s">
        <v>1028</v>
      </c>
      <c r="C141" s="31" t="s">
        <v>327</v>
      </c>
      <c r="D141" s="31" t="s">
        <v>25</v>
      </c>
      <c r="E141" s="31" t="s">
        <v>115</v>
      </c>
      <c r="F141" s="31" t="s">
        <v>334</v>
      </c>
    </row>
    <row r="142" spans="2:6" ht="36" customHeight="1" x14ac:dyDescent="0.35">
      <c r="B142" s="31" t="s">
        <v>1028</v>
      </c>
      <c r="C142" s="31" t="s">
        <v>327</v>
      </c>
      <c r="D142" s="31" t="s">
        <v>26</v>
      </c>
      <c r="E142" s="31" t="s">
        <v>1146</v>
      </c>
      <c r="F142" s="31" t="s">
        <v>335</v>
      </c>
    </row>
    <row r="143" spans="2:6" ht="16" customHeight="1" x14ac:dyDescent="0.35">
      <c r="B143" s="31" t="s">
        <v>1028</v>
      </c>
      <c r="C143" s="31" t="s">
        <v>327</v>
      </c>
      <c r="D143" s="31" t="s">
        <v>21</v>
      </c>
      <c r="E143" s="31" t="s">
        <v>1147</v>
      </c>
      <c r="F143" s="31" t="s">
        <v>333</v>
      </c>
    </row>
    <row r="144" spans="2:6" ht="24" customHeight="1" x14ac:dyDescent="0.35">
      <c r="B144" s="31" t="s">
        <v>1028</v>
      </c>
      <c r="C144" s="31" t="s">
        <v>327</v>
      </c>
      <c r="D144" s="31" t="s">
        <v>31</v>
      </c>
      <c r="E144" s="31" t="s">
        <v>1148</v>
      </c>
      <c r="F144" s="31" t="s">
        <v>1149</v>
      </c>
    </row>
    <row r="145" spans="2:6" ht="16" customHeight="1" x14ac:dyDescent="0.35">
      <c r="B145" s="31" t="s">
        <v>1028</v>
      </c>
      <c r="C145" s="31" t="s">
        <v>339</v>
      </c>
      <c r="D145" s="31" t="s">
        <v>21</v>
      </c>
      <c r="E145" s="31" t="s">
        <v>886</v>
      </c>
      <c r="F145" s="31" t="s">
        <v>344</v>
      </c>
    </row>
    <row r="146" spans="2:6" ht="16" customHeight="1" x14ac:dyDescent="0.35">
      <c r="B146" s="31" t="s">
        <v>1028</v>
      </c>
      <c r="C146" s="31" t="s">
        <v>339</v>
      </c>
      <c r="D146" s="31" t="s">
        <v>29</v>
      </c>
      <c r="E146" s="31" t="s">
        <v>1042</v>
      </c>
      <c r="F146" s="31" t="s">
        <v>349</v>
      </c>
    </row>
    <row r="147" spans="2:6" ht="16" customHeight="1" x14ac:dyDescent="0.35">
      <c r="B147" s="31" t="s">
        <v>1028</v>
      </c>
      <c r="C147" s="31" t="s">
        <v>339</v>
      </c>
      <c r="D147" s="31" t="s">
        <v>31</v>
      </c>
      <c r="E147" s="31" t="s">
        <v>1150</v>
      </c>
      <c r="F147" s="31" t="s">
        <v>1151</v>
      </c>
    </row>
    <row r="148" spans="2:6" ht="24" customHeight="1" x14ac:dyDescent="0.35">
      <c r="B148" s="31" t="s">
        <v>1028</v>
      </c>
      <c r="C148" s="31" t="s">
        <v>351</v>
      </c>
      <c r="D148" s="31" t="s">
        <v>21</v>
      </c>
      <c r="E148" s="31" t="s">
        <v>115</v>
      </c>
      <c r="F148" s="31" t="s">
        <v>356</v>
      </c>
    </row>
    <row r="149" spans="2:6" ht="16" customHeight="1" x14ac:dyDescent="0.35">
      <c r="B149" s="31" t="s">
        <v>1028</v>
      </c>
      <c r="C149" s="31" t="s">
        <v>351</v>
      </c>
      <c r="D149" s="31" t="s">
        <v>22</v>
      </c>
      <c r="E149" s="31" t="s">
        <v>115</v>
      </c>
      <c r="F149" s="31" t="s">
        <v>357</v>
      </c>
    </row>
    <row r="150" spans="2:6" ht="24" customHeight="1" x14ac:dyDescent="0.35">
      <c r="B150" s="31" t="s">
        <v>1028</v>
      </c>
      <c r="C150" s="31" t="s">
        <v>351</v>
      </c>
      <c r="D150" s="31" t="s">
        <v>9</v>
      </c>
      <c r="E150" s="31" t="s">
        <v>381</v>
      </c>
      <c r="F150" s="31" t="s">
        <v>353</v>
      </c>
    </row>
    <row r="151" spans="2:6" ht="16" customHeight="1" x14ac:dyDescent="0.35">
      <c r="B151" s="31" t="s">
        <v>1028</v>
      </c>
      <c r="C151" s="31" t="s">
        <v>351</v>
      </c>
      <c r="D151" s="31" t="s">
        <v>26</v>
      </c>
      <c r="E151" s="31" t="s">
        <v>1042</v>
      </c>
      <c r="F151" s="31" t="s">
        <v>358</v>
      </c>
    </row>
    <row r="152" spans="2:6" ht="24" customHeight="1" x14ac:dyDescent="0.35">
      <c r="B152" s="31" t="s">
        <v>1028</v>
      </c>
      <c r="C152" s="31" t="s">
        <v>351</v>
      </c>
      <c r="D152" s="31" t="s">
        <v>31</v>
      </c>
      <c r="E152" s="31" t="s">
        <v>1152</v>
      </c>
      <c r="F152" s="31" t="s">
        <v>1153</v>
      </c>
    </row>
    <row r="153" spans="2:6" ht="16" customHeight="1" x14ac:dyDescent="0.35">
      <c r="B153" s="31" t="s">
        <v>1028</v>
      </c>
      <c r="C153" s="31" t="s">
        <v>361</v>
      </c>
      <c r="D153" s="31" t="s">
        <v>29</v>
      </c>
      <c r="E153" s="31" t="s">
        <v>1042</v>
      </c>
      <c r="F153" s="31" t="s">
        <v>368</v>
      </c>
    </row>
    <row r="154" spans="2:6" ht="16" customHeight="1" x14ac:dyDescent="0.35">
      <c r="B154" s="31" t="s">
        <v>1028</v>
      </c>
      <c r="C154" s="31" t="s">
        <v>361</v>
      </c>
      <c r="D154" s="31" t="s">
        <v>31</v>
      </c>
      <c r="E154" s="31" t="s">
        <v>1154</v>
      </c>
      <c r="F154" s="31" t="s">
        <v>1155</v>
      </c>
    </row>
    <row r="155" spans="2:6" ht="16" customHeight="1" x14ac:dyDescent="0.35">
      <c r="B155" s="31" t="s">
        <v>1028</v>
      </c>
      <c r="C155" s="31" t="s">
        <v>370</v>
      </c>
      <c r="D155" s="31" t="s">
        <v>31</v>
      </c>
      <c r="E155" s="31" t="s">
        <v>1156</v>
      </c>
      <c r="F155" s="31" t="s">
        <v>1157</v>
      </c>
    </row>
    <row r="156" spans="2:6" ht="16" customHeight="1" x14ac:dyDescent="0.35">
      <c r="B156" s="31" t="s">
        <v>1028</v>
      </c>
      <c r="C156" s="31" t="s">
        <v>379</v>
      </c>
      <c r="D156" s="31" t="s">
        <v>21</v>
      </c>
      <c r="E156" s="31" t="s">
        <v>115</v>
      </c>
      <c r="F156" s="31" t="s">
        <v>384</v>
      </c>
    </row>
    <row r="157" spans="2:6" ht="24" customHeight="1" x14ac:dyDescent="0.35">
      <c r="B157" s="31" t="s">
        <v>1028</v>
      </c>
      <c r="C157" s="31" t="s">
        <v>379</v>
      </c>
      <c r="D157" s="31" t="s">
        <v>17</v>
      </c>
      <c r="E157" s="31" t="s">
        <v>1042</v>
      </c>
      <c r="F157" s="31" t="s">
        <v>1158</v>
      </c>
    </row>
    <row r="158" spans="2:6" ht="16" customHeight="1" x14ac:dyDescent="0.35">
      <c r="B158" s="31" t="s">
        <v>1028</v>
      </c>
      <c r="C158" s="31" t="s">
        <v>379</v>
      </c>
      <c r="D158" s="31" t="s">
        <v>22</v>
      </c>
      <c r="E158" s="31" t="s">
        <v>115</v>
      </c>
      <c r="F158" s="31" t="s">
        <v>43</v>
      </c>
    </row>
    <row r="159" spans="2:6" ht="16" customHeight="1" x14ac:dyDescent="0.35">
      <c r="B159" s="31" t="s">
        <v>1028</v>
      </c>
      <c r="C159" s="31" t="s">
        <v>379</v>
      </c>
      <c r="D159" s="31" t="s">
        <v>31</v>
      </c>
      <c r="E159" s="31" t="s">
        <v>1159</v>
      </c>
      <c r="F159" s="31" t="s">
        <v>1160</v>
      </c>
    </row>
    <row r="160" spans="2:6" ht="16" customHeight="1" x14ac:dyDescent="0.35">
      <c r="B160" s="31" t="s">
        <v>1028</v>
      </c>
      <c r="C160" s="31" t="s">
        <v>387</v>
      </c>
      <c r="D160" s="31" t="s">
        <v>29</v>
      </c>
      <c r="E160" s="31" t="s">
        <v>1042</v>
      </c>
      <c r="F160" s="31" t="s">
        <v>396</v>
      </c>
    </row>
    <row r="161" spans="2:6" ht="16" customHeight="1" x14ac:dyDescent="0.35">
      <c r="B161" s="31" t="s">
        <v>1028</v>
      </c>
      <c r="C161" s="31" t="s">
        <v>387</v>
      </c>
      <c r="D161" s="31" t="s">
        <v>31</v>
      </c>
      <c r="E161" s="31" t="s">
        <v>1161</v>
      </c>
      <c r="F161" s="31" t="s">
        <v>1162</v>
      </c>
    </row>
    <row r="162" spans="2:6" ht="16" customHeight="1" x14ac:dyDescent="0.35">
      <c r="B162" s="31" t="s">
        <v>1028</v>
      </c>
      <c r="C162" s="31" t="s">
        <v>398</v>
      </c>
      <c r="D162" s="31" t="s">
        <v>31</v>
      </c>
      <c r="E162" s="31" t="s">
        <v>1163</v>
      </c>
      <c r="F162" s="31" t="s">
        <v>1164</v>
      </c>
    </row>
    <row r="163" spans="2:6" ht="16" customHeight="1" x14ac:dyDescent="0.35">
      <c r="B163" s="31" t="s">
        <v>1028</v>
      </c>
      <c r="C163" s="31" t="s">
        <v>405</v>
      </c>
      <c r="D163" s="31" t="s">
        <v>29</v>
      </c>
      <c r="E163" s="31" t="s">
        <v>1042</v>
      </c>
      <c r="F163" s="31" t="s">
        <v>414</v>
      </c>
    </row>
    <row r="164" spans="2:6" ht="16" customHeight="1" x14ac:dyDescent="0.35">
      <c r="B164" s="31" t="s">
        <v>1028</v>
      </c>
      <c r="C164" s="31" t="s">
        <v>405</v>
      </c>
      <c r="D164" s="31" t="s">
        <v>31</v>
      </c>
      <c r="E164" s="31" t="s">
        <v>1165</v>
      </c>
      <c r="F164" s="31" t="s">
        <v>1166</v>
      </c>
    </row>
    <row r="165" spans="2:6" ht="16" customHeight="1" x14ac:dyDescent="0.35">
      <c r="B165" s="31" t="s">
        <v>1028</v>
      </c>
      <c r="C165" s="31" t="s">
        <v>416</v>
      </c>
      <c r="D165" s="31" t="s">
        <v>31</v>
      </c>
      <c r="E165" s="31" t="s">
        <v>1167</v>
      </c>
      <c r="F165" s="31" t="s">
        <v>1168</v>
      </c>
    </row>
    <row r="166" spans="2:6" ht="16" customHeight="1" x14ac:dyDescent="0.35">
      <c r="B166" s="31" t="s">
        <v>1028</v>
      </c>
      <c r="C166" s="31" t="s">
        <v>425</v>
      </c>
      <c r="D166" s="31" t="s">
        <v>31</v>
      </c>
      <c r="E166" s="31" t="s">
        <v>1169</v>
      </c>
      <c r="F166" s="31" t="s">
        <v>1170</v>
      </c>
    </row>
    <row r="167" spans="2:6" ht="16" customHeight="1" x14ac:dyDescent="0.35">
      <c r="B167" s="31" t="s">
        <v>1028</v>
      </c>
      <c r="C167" s="31" t="s">
        <v>436</v>
      </c>
      <c r="D167" s="31" t="s">
        <v>29</v>
      </c>
      <c r="E167" s="31" t="s">
        <v>1042</v>
      </c>
      <c r="F167" s="31" t="s">
        <v>441</v>
      </c>
    </row>
    <row r="168" spans="2:6" ht="16" customHeight="1" x14ac:dyDescent="0.35">
      <c r="B168" s="31" t="s">
        <v>1028</v>
      </c>
      <c r="C168" s="31" t="s">
        <v>436</v>
      </c>
      <c r="D168" s="31" t="s">
        <v>31</v>
      </c>
      <c r="E168" s="31" t="s">
        <v>1171</v>
      </c>
      <c r="F168" s="31" t="s">
        <v>1172</v>
      </c>
    </row>
    <row r="169" spans="2:6" ht="16" customHeight="1" x14ac:dyDescent="0.35">
      <c r="B169" s="31" t="s">
        <v>1028</v>
      </c>
      <c r="C169" s="31" t="s">
        <v>443</v>
      </c>
      <c r="D169" s="31" t="s">
        <v>31</v>
      </c>
      <c r="E169" s="31" t="s">
        <v>1173</v>
      </c>
      <c r="F169" s="31" t="s">
        <v>1174</v>
      </c>
    </row>
    <row r="170" spans="2:6" ht="16" customHeight="1" x14ac:dyDescent="0.35">
      <c r="B170" s="31" t="s">
        <v>1028</v>
      </c>
      <c r="C170" s="31" t="s">
        <v>450</v>
      </c>
      <c r="D170" s="31" t="s">
        <v>29</v>
      </c>
      <c r="E170" s="31" t="s">
        <v>1042</v>
      </c>
      <c r="F170" s="31" t="s">
        <v>456</v>
      </c>
    </row>
    <row r="171" spans="2:6" ht="16" customHeight="1" x14ac:dyDescent="0.35">
      <c r="B171" s="31" t="s">
        <v>1028</v>
      </c>
      <c r="C171" s="31" t="s">
        <v>450</v>
      </c>
      <c r="D171" s="31" t="s">
        <v>31</v>
      </c>
      <c r="E171" s="31" t="s">
        <v>1175</v>
      </c>
      <c r="F171" s="31" t="s">
        <v>1176</v>
      </c>
    </row>
    <row r="172" spans="2:6" ht="16" customHeight="1" x14ac:dyDescent="0.35">
      <c r="B172" s="31" t="s">
        <v>1028</v>
      </c>
      <c r="C172" s="31" t="s">
        <v>458</v>
      </c>
      <c r="D172" s="31" t="s">
        <v>25</v>
      </c>
      <c r="E172" s="31" t="s">
        <v>129</v>
      </c>
      <c r="F172" s="31" t="s">
        <v>465</v>
      </c>
    </row>
    <row r="173" spans="2:6" ht="16" customHeight="1" x14ac:dyDescent="0.35">
      <c r="B173" s="31" t="s">
        <v>1028</v>
      </c>
      <c r="C173" s="31" t="s">
        <v>458</v>
      </c>
      <c r="D173" s="31" t="s">
        <v>29</v>
      </c>
      <c r="E173" s="31" t="s">
        <v>1042</v>
      </c>
      <c r="F173" s="31" t="s">
        <v>1177</v>
      </c>
    </row>
    <row r="174" spans="2:6" ht="16" customHeight="1" x14ac:dyDescent="0.35">
      <c r="B174" s="31" t="s">
        <v>1028</v>
      </c>
      <c r="C174" s="31" t="s">
        <v>458</v>
      </c>
      <c r="D174" s="31" t="s">
        <v>31</v>
      </c>
      <c r="E174" s="31" t="s">
        <v>1178</v>
      </c>
      <c r="F174" s="31" t="s">
        <v>1179</v>
      </c>
    </row>
    <row r="175" spans="2:6" ht="16" customHeight="1" x14ac:dyDescent="0.35">
      <c r="B175" s="31" t="s">
        <v>1028</v>
      </c>
      <c r="C175" s="31" t="s">
        <v>470</v>
      </c>
      <c r="D175" s="31" t="s">
        <v>29</v>
      </c>
      <c r="E175" s="31" t="s">
        <v>1042</v>
      </c>
      <c r="F175" s="31" t="s">
        <v>476</v>
      </c>
    </row>
    <row r="176" spans="2:6" ht="16" customHeight="1" x14ac:dyDescent="0.35">
      <c r="B176" s="31" t="s">
        <v>1028</v>
      </c>
      <c r="C176" s="31" t="s">
        <v>470</v>
      </c>
      <c r="D176" s="31" t="s">
        <v>31</v>
      </c>
      <c r="E176" s="31" t="s">
        <v>1180</v>
      </c>
      <c r="F176" s="31" t="s">
        <v>1181</v>
      </c>
    </row>
    <row r="177" spans="2:6" ht="16" customHeight="1" x14ac:dyDescent="0.35">
      <c r="B177" s="31" t="s">
        <v>1028</v>
      </c>
      <c r="C177" s="31" t="s">
        <v>478</v>
      </c>
      <c r="D177" s="31" t="s">
        <v>31</v>
      </c>
      <c r="E177" s="31" t="s">
        <v>1182</v>
      </c>
      <c r="F177" s="31" t="s">
        <v>1183</v>
      </c>
    </row>
    <row r="178" spans="2:6" ht="16" customHeight="1" x14ac:dyDescent="0.35">
      <c r="B178" s="31" t="s">
        <v>1028</v>
      </c>
      <c r="C178" s="31" t="s">
        <v>486</v>
      </c>
      <c r="D178" s="31" t="s">
        <v>29</v>
      </c>
      <c r="E178" s="31" t="s">
        <v>1042</v>
      </c>
      <c r="F178" s="31" t="s">
        <v>493</v>
      </c>
    </row>
    <row r="179" spans="2:6" ht="16" customHeight="1" x14ac:dyDescent="0.35">
      <c r="B179" s="31" t="s">
        <v>1028</v>
      </c>
      <c r="C179" s="31" t="s">
        <v>486</v>
      </c>
      <c r="D179" s="31" t="s">
        <v>31</v>
      </c>
      <c r="E179" s="31" t="s">
        <v>1184</v>
      </c>
      <c r="F179" s="31" t="s">
        <v>1185</v>
      </c>
    </row>
    <row r="180" spans="2:6" ht="16" customHeight="1" x14ac:dyDescent="0.35">
      <c r="B180" s="31" t="s">
        <v>1028</v>
      </c>
      <c r="C180" s="31" t="s">
        <v>495</v>
      </c>
      <c r="D180" s="31" t="s">
        <v>18</v>
      </c>
      <c r="E180" s="31" t="s">
        <v>490</v>
      </c>
      <c r="F180" s="31" t="s">
        <v>499</v>
      </c>
    </row>
    <row r="181" spans="2:6" ht="16" customHeight="1" x14ac:dyDescent="0.35">
      <c r="B181" s="31" t="s">
        <v>1028</v>
      </c>
      <c r="C181" s="31" t="s">
        <v>495</v>
      </c>
      <c r="D181" s="31" t="s">
        <v>20</v>
      </c>
      <c r="E181" s="31" t="s">
        <v>1186</v>
      </c>
      <c r="F181" s="31" t="s">
        <v>1187</v>
      </c>
    </row>
    <row r="182" spans="2:6" ht="16" customHeight="1" x14ac:dyDescent="0.35">
      <c r="B182" s="31" t="s">
        <v>1028</v>
      </c>
      <c r="C182" s="31" t="s">
        <v>495</v>
      </c>
      <c r="D182" s="31" t="s">
        <v>29</v>
      </c>
      <c r="E182" s="31" t="s">
        <v>1042</v>
      </c>
      <c r="F182" s="31" t="s">
        <v>502</v>
      </c>
    </row>
    <row r="183" spans="2:6" ht="16" customHeight="1" x14ac:dyDescent="0.35">
      <c r="B183" s="31" t="s">
        <v>1028</v>
      </c>
      <c r="C183" s="31" t="s">
        <v>495</v>
      </c>
      <c r="D183" s="31" t="s">
        <v>31</v>
      </c>
      <c r="E183" s="31" t="s">
        <v>1188</v>
      </c>
      <c r="F183" s="31" t="s">
        <v>1189</v>
      </c>
    </row>
    <row r="184" spans="2:6" ht="16" customHeight="1" x14ac:dyDescent="0.35">
      <c r="B184" s="31" t="s">
        <v>1028</v>
      </c>
      <c r="C184" s="31" t="s">
        <v>504</v>
      </c>
      <c r="D184" s="31" t="s">
        <v>29</v>
      </c>
      <c r="E184" s="31" t="s">
        <v>1042</v>
      </c>
      <c r="F184" s="31" t="s">
        <v>508</v>
      </c>
    </row>
    <row r="185" spans="2:6" ht="16" customHeight="1" x14ac:dyDescent="0.35">
      <c r="B185" s="31" t="s">
        <v>1028</v>
      </c>
      <c r="C185" s="31" t="s">
        <v>504</v>
      </c>
      <c r="D185" s="31" t="s">
        <v>31</v>
      </c>
      <c r="E185" s="31" t="s">
        <v>1190</v>
      </c>
      <c r="F185" s="31" t="s">
        <v>1191</v>
      </c>
    </row>
    <row r="186" spans="2:6" ht="16" customHeight="1" x14ac:dyDescent="0.35">
      <c r="B186" s="31" t="s">
        <v>1028</v>
      </c>
      <c r="C186" s="31" t="s">
        <v>510</v>
      </c>
      <c r="D186" s="31" t="s">
        <v>31</v>
      </c>
      <c r="E186" s="31" t="s">
        <v>1192</v>
      </c>
      <c r="F186" s="31" t="s">
        <v>1193</v>
      </c>
    </row>
    <row r="187" spans="2:6" ht="16" customHeight="1" x14ac:dyDescent="0.35">
      <c r="B187" s="31" t="s">
        <v>1028</v>
      </c>
      <c r="C187" s="31" t="s">
        <v>517</v>
      </c>
      <c r="D187" s="31" t="s">
        <v>31</v>
      </c>
      <c r="E187" s="31" t="s">
        <v>1194</v>
      </c>
      <c r="F187" s="31" t="s">
        <v>1195</v>
      </c>
    </row>
    <row r="188" spans="2:6" ht="16" customHeight="1" x14ac:dyDescent="0.35">
      <c r="B188" s="31" t="s">
        <v>1028</v>
      </c>
      <c r="C188" s="31" t="s">
        <v>523</v>
      </c>
      <c r="D188" s="31" t="s">
        <v>31</v>
      </c>
      <c r="E188" s="31" t="s">
        <v>1196</v>
      </c>
      <c r="F188" s="31" t="s">
        <v>1197</v>
      </c>
    </row>
    <row r="189" spans="2:6" ht="16" customHeight="1" x14ac:dyDescent="0.35">
      <c r="B189" s="31" t="s">
        <v>1028</v>
      </c>
      <c r="C189" s="31" t="s">
        <v>529</v>
      </c>
      <c r="D189" s="31" t="s">
        <v>31</v>
      </c>
      <c r="E189" s="31" t="s">
        <v>1198</v>
      </c>
      <c r="F189" s="31" t="s">
        <v>1199</v>
      </c>
    </row>
    <row r="190" spans="2:6" ht="16" customHeight="1" x14ac:dyDescent="0.35">
      <c r="B190" s="31" t="s">
        <v>1028</v>
      </c>
      <c r="C190" s="31" t="s">
        <v>536</v>
      </c>
      <c r="D190" s="31" t="s">
        <v>29</v>
      </c>
      <c r="E190" s="31" t="s">
        <v>1042</v>
      </c>
      <c r="F190" s="31" t="s">
        <v>543</v>
      </c>
    </row>
    <row r="191" spans="2:6" ht="16" customHeight="1" x14ac:dyDescent="0.35">
      <c r="B191" s="31" t="s">
        <v>1028</v>
      </c>
      <c r="C191" s="31" t="s">
        <v>536</v>
      </c>
      <c r="D191" s="31" t="s">
        <v>31</v>
      </c>
      <c r="E191" s="31" t="s">
        <v>1200</v>
      </c>
      <c r="F191" s="31" t="s">
        <v>1201</v>
      </c>
    </row>
    <row r="192" spans="2:6" ht="16" customHeight="1" x14ac:dyDescent="0.35">
      <c r="B192" s="31" t="s">
        <v>1028</v>
      </c>
      <c r="C192" s="31" t="s">
        <v>545</v>
      </c>
      <c r="D192" s="31" t="s">
        <v>29</v>
      </c>
      <c r="E192" s="31" t="s">
        <v>1042</v>
      </c>
      <c r="F192" s="31" t="s">
        <v>551</v>
      </c>
    </row>
    <row r="193" spans="2:6" ht="16" customHeight="1" x14ac:dyDescent="0.35">
      <c r="B193" s="31" t="s">
        <v>1028</v>
      </c>
      <c r="C193" s="31" t="s">
        <v>545</v>
      </c>
      <c r="D193" s="31" t="s">
        <v>31</v>
      </c>
      <c r="E193" s="31" t="s">
        <v>1202</v>
      </c>
      <c r="F193" s="31" t="s">
        <v>1203</v>
      </c>
    </row>
    <row r="194" spans="2:6" ht="16" customHeight="1" x14ac:dyDescent="0.35">
      <c r="B194" s="31" t="s">
        <v>1028</v>
      </c>
      <c r="C194" s="31" t="s">
        <v>553</v>
      </c>
      <c r="D194" s="31" t="s">
        <v>18</v>
      </c>
      <c r="E194" s="31" t="s">
        <v>567</v>
      </c>
      <c r="F194" s="31" t="s">
        <v>556</v>
      </c>
    </row>
    <row r="195" spans="2:6" ht="16" customHeight="1" x14ac:dyDescent="0.35">
      <c r="B195" s="31" t="s">
        <v>1028</v>
      </c>
      <c r="C195" s="31" t="s">
        <v>553</v>
      </c>
      <c r="D195" s="31" t="s">
        <v>19</v>
      </c>
      <c r="E195" s="31" t="s">
        <v>1204</v>
      </c>
      <c r="F195" s="31" t="s">
        <v>1205</v>
      </c>
    </row>
    <row r="196" spans="2:6" ht="16" customHeight="1" x14ac:dyDescent="0.35">
      <c r="B196" s="31" t="s">
        <v>1028</v>
      </c>
      <c r="C196" s="31" t="s">
        <v>553</v>
      </c>
      <c r="D196" s="31" t="s">
        <v>9</v>
      </c>
      <c r="E196" s="31" t="s">
        <v>1206</v>
      </c>
      <c r="F196" s="31" t="s">
        <v>555</v>
      </c>
    </row>
    <row r="197" spans="2:6" ht="16" customHeight="1" x14ac:dyDescent="0.35">
      <c r="B197" s="31" t="s">
        <v>1028</v>
      </c>
      <c r="C197" s="31" t="s">
        <v>553</v>
      </c>
      <c r="D197" s="31" t="s">
        <v>28</v>
      </c>
      <c r="E197" s="31" t="s">
        <v>27</v>
      </c>
      <c r="F197" s="31" t="s">
        <v>561</v>
      </c>
    </row>
    <row r="198" spans="2:6" ht="16" customHeight="1" x14ac:dyDescent="0.35">
      <c r="B198" s="31" t="s">
        <v>1028</v>
      </c>
      <c r="C198" s="31" t="s">
        <v>553</v>
      </c>
      <c r="D198" s="31" t="s">
        <v>31</v>
      </c>
      <c r="E198" s="31" t="s">
        <v>1207</v>
      </c>
      <c r="F198" s="31" t="s">
        <v>1208</v>
      </c>
    </row>
    <row r="199" spans="2:6" ht="16" customHeight="1" x14ac:dyDescent="0.35">
      <c r="B199" s="31" t="s">
        <v>1028</v>
      </c>
      <c r="C199" s="31" t="s">
        <v>564</v>
      </c>
      <c r="D199" s="31" t="s">
        <v>29</v>
      </c>
      <c r="E199" s="31" t="s">
        <v>1042</v>
      </c>
      <c r="F199" s="31" t="s">
        <v>562</v>
      </c>
    </row>
    <row r="200" spans="2:6" ht="16" customHeight="1" x14ac:dyDescent="0.35">
      <c r="B200" s="31" t="s">
        <v>1028</v>
      </c>
      <c r="C200" s="31" t="s">
        <v>564</v>
      </c>
      <c r="D200" s="31" t="s">
        <v>26</v>
      </c>
      <c r="E200" s="31" t="s">
        <v>1042</v>
      </c>
      <c r="F200" s="31" t="s">
        <v>1209</v>
      </c>
    </row>
    <row r="201" spans="2:6" ht="16" customHeight="1" x14ac:dyDescent="0.35">
      <c r="B201" s="31" t="s">
        <v>1028</v>
      </c>
      <c r="C201" s="31" t="s">
        <v>564</v>
      </c>
      <c r="D201" s="31" t="s">
        <v>31</v>
      </c>
      <c r="E201" s="31" t="s">
        <v>1210</v>
      </c>
      <c r="F201" s="31" t="s">
        <v>1211</v>
      </c>
    </row>
    <row r="202" spans="2:6" ht="24" customHeight="1" x14ac:dyDescent="0.35">
      <c r="B202" s="31" t="s">
        <v>1028</v>
      </c>
      <c r="C202" s="31" t="s">
        <v>571</v>
      </c>
      <c r="D202" s="31" t="s">
        <v>31</v>
      </c>
      <c r="E202" s="31" t="s">
        <v>1212</v>
      </c>
      <c r="F202" s="31" t="s">
        <v>1213</v>
      </c>
    </row>
    <row r="203" spans="2:6" ht="16" customHeight="1" x14ac:dyDescent="0.35">
      <c r="B203" s="31" t="s">
        <v>1028</v>
      </c>
      <c r="C203" s="31" t="s">
        <v>582</v>
      </c>
      <c r="D203" s="31" t="s">
        <v>26</v>
      </c>
      <c r="E203" s="31" t="s">
        <v>1042</v>
      </c>
      <c r="F203" s="31" t="s">
        <v>586</v>
      </c>
    </row>
    <row r="204" spans="2:6" ht="16" customHeight="1" x14ac:dyDescent="0.35">
      <c r="B204" s="31" t="s">
        <v>1028</v>
      </c>
      <c r="C204" s="31" t="s">
        <v>582</v>
      </c>
      <c r="D204" s="31" t="s">
        <v>31</v>
      </c>
      <c r="E204" s="31" t="s">
        <v>1214</v>
      </c>
      <c r="F204" s="31" t="s">
        <v>1215</v>
      </c>
    </row>
    <row r="205" spans="2:6" ht="16" customHeight="1" x14ac:dyDescent="0.35">
      <c r="B205" s="31" t="s">
        <v>1028</v>
      </c>
      <c r="C205" s="31" t="s">
        <v>589</v>
      </c>
      <c r="D205" s="31" t="s">
        <v>29</v>
      </c>
      <c r="E205" s="31" t="s">
        <v>1042</v>
      </c>
      <c r="F205" s="31" t="s">
        <v>493</v>
      </c>
    </row>
    <row r="206" spans="2:6" ht="16" customHeight="1" x14ac:dyDescent="0.35">
      <c r="B206" s="31" t="s">
        <v>1028</v>
      </c>
      <c r="C206" s="31" t="s">
        <v>589</v>
      </c>
      <c r="D206" s="31" t="s">
        <v>31</v>
      </c>
      <c r="E206" s="31" t="s">
        <v>1216</v>
      </c>
      <c r="F206" s="31" t="s">
        <v>1217</v>
      </c>
    </row>
    <row r="207" spans="2:6" ht="16" customHeight="1" x14ac:dyDescent="0.35">
      <c r="B207" s="31" t="s">
        <v>1028</v>
      </c>
      <c r="C207" s="31" t="s">
        <v>595</v>
      </c>
      <c r="D207" s="31" t="s">
        <v>29</v>
      </c>
      <c r="E207" s="31" t="s">
        <v>1042</v>
      </c>
      <c r="F207" s="31" t="s">
        <v>604</v>
      </c>
    </row>
    <row r="208" spans="2:6" ht="16" customHeight="1" x14ac:dyDescent="0.35">
      <c r="B208" s="31" t="s">
        <v>1028</v>
      </c>
      <c r="C208" s="31" t="s">
        <v>595</v>
      </c>
      <c r="D208" s="31" t="s">
        <v>31</v>
      </c>
      <c r="E208" s="31" t="s">
        <v>1218</v>
      </c>
      <c r="F208" s="31" t="s">
        <v>1219</v>
      </c>
    </row>
    <row r="209" spans="2:6" ht="16" customHeight="1" x14ac:dyDescent="0.35">
      <c r="B209" s="31" t="s">
        <v>1028</v>
      </c>
      <c r="C209" s="31" t="s">
        <v>606</v>
      </c>
      <c r="D209" s="31" t="s">
        <v>21</v>
      </c>
      <c r="E209" s="31" t="s">
        <v>115</v>
      </c>
      <c r="F209" s="31" t="s">
        <v>612</v>
      </c>
    </row>
    <row r="210" spans="2:6" ht="16" customHeight="1" x14ac:dyDescent="0.35">
      <c r="B210" s="31" t="s">
        <v>1028</v>
      </c>
      <c r="C210" s="31" t="s">
        <v>606</v>
      </c>
      <c r="D210" s="31" t="s">
        <v>25</v>
      </c>
      <c r="E210" s="31" t="s">
        <v>115</v>
      </c>
      <c r="F210" s="31" t="s">
        <v>613</v>
      </c>
    </row>
    <row r="211" spans="2:6" ht="16" customHeight="1" x14ac:dyDescent="0.35">
      <c r="B211" s="31" t="s">
        <v>1028</v>
      </c>
      <c r="C211" s="31" t="s">
        <v>606</v>
      </c>
      <c r="D211" s="31" t="s">
        <v>31</v>
      </c>
      <c r="E211" s="31" t="s">
        <v>1220</v>
      </c>
      <c r="F211" s="31" t="s">
        <v>1221</v>
      </c>
    </row>
    <row r="212" spans="2:6" ht="16" customHeight="1" x14ac:dyDescent="0.35">
      <c r="B212" s="31" t="s">
        <v>1028</v>
      </c>
      <c r="C212" s="31" t="s">
        <v>616</v>
      </c>
      <c r="D212" s="31" t="s">
        <v>31</v>
      </c>
      <c r="E212" s="31" t="s">
        <v>1222</v>
      </c>
      <c r="F212" s="31" t="s">
        <v>1223</v>
      </c>
    </row>
    <row r="213" spans="2:6" ht="16" customHeight="1" x14ac:dyDescent="0.35">
      <c r="B213" s="31" t="s">
        <v>1028</v>
      </c>
      <c r="C213" s="31" t="s">
        <v>624</v>
      </c>
      <c r="D213" s="31" t="s">
        <v>9</v>
      </c>
      <c r="E213" s="31" t="s">
        <v>1224</v>
      </c>
      <c r="F213" s="31" t="s">
        <v>330</v>
      </c>
    </row>
    <row r="214" spans="2:6" ht="16" customHeight="1" x14ac:dyDescent="0.35">
      <c r="B214" s="31" t="s">
        <v>1028</v>
      </c>
      <c r="C214" s="31" t="s">
        <v>624</v>
      </c>
      <c r="D214" s="31" t="s">
        <v>25</v>
      </c>
      <c r="E214" s="31" t="s">
        <v>1225</v>
      </c>
      <c r="F214" s="31" t="s">
        <v>628</v>
      </c>
    </row>
    <row r="215" spans="2:6" ht="16" customHeight="1" x14ac:dyDescent="0.35">
      <c r="B215" s="31" t="s">
        <v>1028</v>
      </c>
      <c r="C215" s="31" t="s">
        <v>624</v>
      </c>
      <c r="D215" s="31" t="s">
        <v>26</v>
      </c>
      <c r="E215" s="31" t="s">
        <v>1226</v>
      </c>
      <c r="F215" s="31" t="s">
        <v>629</v>
      </c>
    </row>
    <row r="216" spans="2:6" ht="16" customHeight="1" x14ac:dyDescent="0.35">
      <c r="B216" s="31" t="s">
        <v>1028</v>
      </c>
      <c r="C216" s="31" t="s">
        <v>624</v>
      </c>
      <c r="D216" s="31" t="s">
        <v>31</v>
      </c>
      <c r="E216" s="31" t="s">
        <v>1227</v>
      </c>
      <c r="F216" s="31" t="s">
        <v>1228</v>
      </c>
    </row>
    <row r="217" spans="2:6" ht="16" customHeight="1" x14ac:dyDescent="0.35">
      <c r="B217" s="31" t="s">
        <v>1028</v>
      </c>
      <c r="C217" s="31" t="s">
        <v>632</v>
      </c>
      <c r="D217" s="31" t="s">
        <v>22</v>
      </c>
      <c r="E217" s="31" t="s">
        <v>115</v>
      </c>
      <c r="F217" s="31" t="s">
        <v>638</v>
      </c>
    </row>
    <row r="218" spans="2:6" ht="16" customHeight="1" x14ac:dyDescent="0.35">
      <c r="B218" s="31" t="s">
        <v>1028</v>
      </c>
      <c r="C218" s="31" t="s">
        <v>632</v>
      </c>
      <c r="D218" s="31" t="s">
        <v>25</v>
      </c>
      <c r="E218" s="31" t="s">
        <v>115</v>
      </c>
      <c r="F218" s="31" t="s">
        <v>639</v>
      </c>
    </row>
    <row r="219" spans="2:6" ht="16" customHeight="1" x14ac:dyDescent="0.35">
      <c r="B219" s="31" t="s">
        <v>1028</v>
      </c>
      <c r="C219" s="31" t="s">
        <v>632</v>
      </c>
      <c r="D219" s="31" t="s">
        <v>26</v>
      </c>
      <c r="E219" s="31" t="s">
        <v>1042</v>
      </c>
      <c r="F219" s="31" t="s">
        <v>640</v>
      </c>
    </row>
    <row r="220" spans="2:6" ht="16" customHeight="1" x14ac:dyDescent="0.35">
      <c r="B220" s="31" t="s">
        <v>1028</v>
      </c>
      <c r="C220" s="31" t="s">
        <v>632</v>
      </c>
      <c r="D220" s="31" t="s">
        <v>29</v>
      </c>
      <c r="E220" s="31" t="s">
        <v>1042</v>
      </c>
      <c r="F220" s="31" t="s">
        <v>642</v>
      </c>
    </row>
    <row r="221" spans="2:6" ht="24" customHeight="1" x14ac:dyDescent="0.35">
      <c r="B221" s="31" t="s">
        <v>1028</v>
      </c>
      <c r="C221" s="31" t="s">
        <v>632</v>
      </c>
      <c r="D221" s="31" t="s">
        <v>31</v>
      </c>
      <c r="E221" s="31" t="s">
        <v>1229</v>
      </c>
      <c r="F221" s="31" t="s">
        <v>1230</v>
      </c>
    </row>
    <row r="222" spans="2:6" ht="16" customHeight="1" x14ac:dyDescent="0.35">
      <c r="B222" s="31" t="s">
        <v>1028</v>
      </c>
      <c r="C222" s="31" t="s">
        <v>644</v>
      </c>
      <c r="D222" s="31" t="s">
        <v>21</v>
      </c>
      <c r="E222" s="31" t="s">
        <v>464</v>
      </c>
      <c r="F222" s="31" t="s">
        <v>647</v>
      </c>
    </row>
    <row r="223" spans="2:6" ht="24" customHeight="1" x14ac:dyDescent="0.35">
      <c r="B223" s="31" t="s">
        <v>1028</v>
      </c>
      <c r="C223" s="31" t="s">
        <v>644</v>
      </c>
      <c r="D223" s="31" t="s">
        <v>22</v>
      </c>
      <c r="E223" s="31" t="s">
        <v>115</v>
      </c>
      <c r="F223" s="31" t="s">
        <v>648</v>
      </c>
    </row>
    <row r="224" spans="2:6" ht="16" customHeight="1" x14ac:dyDescent="0.35">
      <c r="B224" s="31" t="s">
        <v>1028</v>
      </c>
      <c r="C224" s="31" t="s">
        <v>644</v>
      </c>
      <c r="D224" s="31" t="s">
        <v>25</v>
      </c>
      <c r="E224" s="31" t="s">
        <v>115</v>
      </c>
      <c r="F224" s="31" t="s">
        <v>649</v>
      </c>
    </row>
    <row r="225" spans="2:6" ht="24" customHeight="1" x14ac:dyDescent="0.35">
      <c r="B225" s="31" t="s">
        <v>1028</v>
      </c>
      <c r="C225" s="31" t="s">
        <v>644</v>
      </c>
      <c r="D225" s="31" t="s">
        <v>26</v>
      </c>
      <c r="E225" s="31" t="s">
        <v>1042</v>
      </c>
      <c r="F225" s="31" t="s">
        <v>1231</v>
      </c>
    </row>
    <row r="226" spans="2:6" ht="16" customHeight="1" x14ac:dyDescent="0.35">
      <c r="B226" s="31" t="s">
        <v>1028</v>
      </c>
      <c r="C226" s="31" t="s">
        <v>644</v>
      </c>
      <c r="D226" s="31" t="s">
        <v>29</v>
      </c>
      <c r="E226" s="31" t="s">
        <v>1042</v>
      </c>
      <c r="F226" s="31" t="s">
        <v>652</v>
      </c>
    </row>
    <row r="227" spans="2:6" ht="16" customHeight="1" x14ac:dyDescent="0.35">
      <c r="B227" s="31" t="s">
        <v>1028</v>
      </c>
      <c r="C227" s="31" t="s">
        <v>644</v>
      </c>
      <c r="D227" s="31" t="s">
        <v>31</v>
      </c>
      <c r="E227" s="31" t="s">
        <v>1232</v>
      </c>
      <c r="F227" s="31" t="s">
        <v>1233</v>
      </c>
    </row>
    <row r="228" spans="2:6" ht="24" customHeight="1" x14ac:dyDescent="0.35">
      <c r="B228" s="31" t="s">
        <v>1028</v>
      </c>
      <c r="C228" s="31" t="s">
        <v>654</v>
      </c>
      <c r="D228" s="31" t="s">
        <v>25</v>
      </c>
      <c r="E228" s="31" t="s">
        <v>741</v>
      </c>
      <c r="F228" s="31" t="s">
        <v>659</v>
      </c>
    </row>
    <row r="229" spans="2:6" ht="16" customHeight="1" x14ac:dyDescent="0.35">
      <c r="B229" s="31" t="s">
        <v>1028</v>
      </c>
      <c r="C229" s="31" t="s">
        <v>654</v>
      </c>
      <c r="D229" s="31" t="s">
        <v>26</v>
      </c>
      <c r="E229" s="31" t="s">
        <v>1234</v>
      </c>
      <c r="F229" s="31" t="s">
        <v>660</v>
      </c>
    </row>
    <row r="230" spans="2:6" ht="16" customHeight="1" x14ac:dyDescent="0.35">
      <c r="B230" s="31" t="s">
        <v>1028</v>
      </c>
      <c r="C230" s="31" t="s">
        <v>654</v>
      </c>
      <c r="D230" s="31" t="s">
        <v>31</v>
      </c>
      <c r="E230" s="31" t="s">
        <v>1235</v>
      </c>
      <c r="F230" s="31" t="s">
        <v>1236</v>
      </c>
    </row>
    <row r="231" spans="2:6" ht="16" customHeight="1" x14ac:dyDescent="0.35">
      <c r="B231" s="31" t="s">
        <v>1028</v>
      </c>
      <c r="C231" s="31" t="s">
        <v>663</v>
      </c>
      <c r="D231" s="31" t="s">
        <v>16</v>
      </c>
      <c r="E231" s="31" t="s">
        <v>1042</v>
      </c>
      <c r="F231" s="31" t="s">
        <v>1237</v>
      </c>
    </row>
    <row r="232" spans="2:6" ht="16" customHeight="1" x14ac:dyDescent="0.35">
      <c r="B232" s="31" t="s">
        <v>1028</v>
      </c>
      <c r="C232" s="31" t="s">
        <v>663</v>
      </c>
      <c r="D232" s="31" t="s">
        <v>10</v>
      </c>
      <c r="E232" s="31" t="s">
        <v>1238</v>
      </c>
      <c r="F232" s="31" t="s">
        <v>1239</v>
      </c>
    </row>
    <row r="233" spans="2:6" ht="16" customHeight="1" x14ac:dyDescent="0.35">
      <c r="B233" s="31" t="s">
        <v>1028</v>
      </c>
      <c r="C233" s="31" t="s">
        <v>663</v>
      </c>
      <c r="D233" s="31" t="s">
        <v>21</v>
      </c>
      <c r="E233" s="31" t="s">
        <v>1240</v>
      </c>
      <c r="F233" s="31" t="s">
        <v>668</v>
      </c>
    </row>
    <row r="234" spans="2:6" ht="16" customHeight="1" x14ac:dyDescent="0.35">
      <c r="B234" s="31" t="s">
        <v>1028</v>
      </c>
      <c r="C234" s="31" t="s">
        <v>663</v>
      </c>
      <c r="D234" s="31" t="s">
        <v>22</v>
      </c>
      <c r="E234" s="31" t="s">
        <v>115</v>
      </c>
      <c r="F234" s="31" t="s">
        <v>669</v>
      </c>
    </row>
    <row r="235" spans="2:6" ht="16" customHeight="1" x14ac:dyDescent="0.35">
      <c r="B235" s="31" t="s">
        <v>1028</v>
      </c>
      <c r="C235" s="31" t="s">
        <v>663</v>
      </c>
      <c r="D235" s="31" t="s">
        <v>25</v>
      </c>
      <c r="E235" s="31" t="s">
        <v>741</v>
      </c>
      <c r="F235" s="31" t="s">
        <v>670</v>
      </c>
    </row>
    <row r="236" spans="2:6" ht="16" customHeight="1" x14ac:dyDescent="0.35">
      <c r="B236" s="31" t="s">
        <v>1028</v>
      </c>
      <c r="C236" s="31" t="s">
        <v>663</v>
      </c>
      <c r="D236" s="31" t="s">
        <v>29</v>
      </c>
      <c r="E236" s="31" t="s">
        <v>1042</v>
      </c>
      <c r="F236" s="31" t="s">
        <v>673</v>
      </c>
    </row>
    <row r="237" spans="2:6" ht="24" customHeight="1" x14ac:dyDescent="0.35">
      <c r="B237" s="31" t="s">
        <v>1028</v>
      </c>
      <c r="C237" s="31" t="s">
        <v>663</v>
      </c>
      <c r="D237" s="31" t="s">
        <v>31</v>
      </c>
      <c r="E237" s="31" t="s">
        <v>1241</v>
      </c>
      <c r="F237" s="31" t="s">
        <v>1242</v>
      </c>
    </row>
    <row r="238" spans="2:6" ht="24" customHeight="1" x14ac:dyDescent="0.35">
      <c r="B238" s="31" t="s">
        <v>1028</v>
      </c>
      <c r="C238" s="31" t="s">
        <v>675</v>
      </c>
      <c r="D238" s="31" t="s">
        <v>17</v>
      </c>
      <c r="E238" s="31" t="s">
        <v>1042</v>
      </c>
      <c r="F238" s="31" t="s">
        <v>1243</v>
      </c>
    </row>
    <row r="239" spans="2:6" ht="16" customHeight="1" x14ac:dyDescent="0.35">
      <c r="B239" s="31" t="s">
        <v>1028</v>
      </c>
      <c r="C239" s="31" t="s">
        <v>675</v>
      </c>
      <c r="D239" s="31" t="s">
        <v>29</v>
      </c>
      <c r="E239" s="31" t="s">
        <v>1042</v>
      </c>
      <c r="F239" s="31" t="s">
        <v>680</v>
      </c>
    </row>
    <row r="240" spans="2:6" ht="16" customHeight="1" x14ac:dyDescent="0.35">
      <c r="B240" s="31" t="s">
        <v>1028</v>
      </c>
      <c r="C240" s="31" t="s">
        <v>675</v>
      </c>
      <c r="D240" s="31" t="s">
        <v>31</v>
      </c>
      <c r="E240" s="31" t="s">
        <v>1244</v>
      </c>
      <c r="F240" s="31" t="s">
        <v>1245</v>
      </c>
    </row>
    <row r="241" spans="2:6" ht="24" customHeight="1" x14ac:dyDescent="0.35">
      <c r="B241" s="31" t="s">
        <v>1028</v>
      </c>
      <c r="C241" s="31" t="s">
        <v>682</v>
      </c>
      <c r="D241" s="31" t="s">
        <v>26</v>
      </c>
      <c r="E241" s="31" t="s">
        <v>474</v>
      </c>
      <c r="F241" s="31" t="s">
        <v>1246</v>
      </c>
    </row>
    <row r="242" spans="2:6" ht="16" customHeight="1" x14ac:dyDescent="0.35">
      <c r="B242" s="31" t="s">
        <v>1028</v>
      </c>
      <c r="C242" s="31" t="s">
        <v>682</v>
      </c>
      <c r="D242" s="31" t="s">
        <v>29</v>
      </c>
      <c r="E242" s="31" t="s">
        <v>1042</v>
      </c>
      <c r="F242" s="31" t="s">
        <v>688</v>
      </c>
    </row>
    <row r="243" spans="2:6" ht="16" customHeight="1" x14ac:dyDescent="0.35">
      <c r="B243" s="31" t="s">
        <v>1028</v>
      </c>
      <c r="C243" s="31" t="s">
        <v>682</v>
      </c>
      <c r="D243" s="31" t="s">
        <v>31</v>
      </c>
      <c r="E243" s="31" t="s">
        <v>1247</v>
      </c>
      <c r="F243" s="31" t="s">
        <v>1248</v>
      </c>
    </row>
    <row r="244" spans="2:6" ht="24" customHeight="1" x14ac:dyDescent="0.35">
      <c r="B244" s="31" t="s">
        <v>1028</v>
      </c>
      <c r="C244" s="31" t="s">
        <v>690</v>
      </c>
      <c r="D244" s="31" t="s">
        <v>29</v>
      </c>
      <c r="E244" s="31" t="s">
        <v>1042</v>
      </c>
      <c r="F244" s="31" t="s">
        <v>697</v>
      </c>
    </row>
    <row r="245" spans="2:6" ht="24" customHeight="1" x14ac:dyDescent="0.35">
      <c r="B245" s="31" t="s">
        <v>1028</v>
      </c>
      <c r="C245" s="31" t="s">
        <v>690</v>
      </c>
      <c r="D245" s="31" t="s">
        <v>31</v>
      </c>
      <c r="E245" s="31" t="s">
        <v>1249</v>
      </c>
      <c r="F245" s="31" t="s">
        <v>1250</v>
      </c>
    </row>
    <row r="246" spans="2:6" ht="24" customHeight="1" x14ac:dyDescent="0.35">
      <c r="B246" s="31" t="s">
        <v>1028</v>
      </c>
      <c r="C246" s="31" t="s">
        <v>699</v>
      </c>
      <c r="D246" s="31" t="s">
        <v>31</v>
      </c>
      <c r="E246" s="31" t="s">
        <v>1251</v>
      </c>
      <c r="F246" s="31" t="s">
        <v>1252</v>
      </c>
    </row>
    <row r="247" spans="2:6" ht="16" customHeight="1" x14ac:dyDescent="0.35">
      <c r="B247" s="31" t="s">
        <v>1028</v>
      </c>
      <c r="C247" s="31" t="s">
        <v>708</v>
      </c>
      <c r="D247" s="31" t="s">
        <v>22</v>
      </c>
      <c r="E247" s="31" t="s">
        <v>115</v>
      </c>
      <c r="F247" s="31" t="s">
        <v>43</v>
      </c>
    </row>
    <row r="248" spans="2:6" ht="16" customHeight="1" x14ac:dyDescent="0.35">
      <c r="B248" s="31" t="s">
        <v>1028</v>
      </c>
      <c r="C248" s="31" t="s">
        <v>708</v>
      </c>
      <c r="D248" s="31" t="s">
        <v>9</v>
      </c>
      <c r="E248" s="31" t="s">
        <v>1253</v>
      </c>
      <c r="F248" s="31" t="s">
        <v>1254</v>
      </c>
    </row>
    <row r="249" spans="2:6" ht="16" customHeight="1" x14ac:dyDescent="0.35">
      <c r="B249" s="31" t="s">
        <v>1028</v>
      </c>
      <c r="C249" s="31" t="s">
        <v>708</v>
      </c>
      <c r="D249" s="31" t="s">
        <v>25</v>
      </c>
      <c r="E249" s="31" t="s">
        <v>1255</v>
      </c>
      <c r="F249" s="31" t="s">
        <v>713</v>
      </c>
    </row>
    <row r="250" spans="2:6" ht="16" customHeight="1" x14ac:dyDescent="0.35">
      <c r="B250" s="31" t="s">
        <v>1028</v>
      </c>
      <c r="C250" s="31" t="s">
        <v>708</v>
      </c>
      <c r="D250" s="31" t="s">
        <v>26</v>
      </c>
      <c r="E250" s="31" t="s">
        <v>1042</v>
      </c>
      <c r="F250" s="31" t="s">
        <v>714</v>
      </c>
    </row>
    <row r="251" spans="2:6" ht="16" customHeight="1" x14ac:dyDescent="0.35">
      <c r="B251" s="31" t="s">
        <v>1028</v>
      </c>
      <c r="C251" s="31" t="s">
        <v>708</v>
      </c>
      <c r="D251" s="31" t="s">
        <v>29</v>
      </c>
      <c r="E251" s="31" t="s">
        <v>1256</v>
      </c>
      <c r="F251" s="31" t="s">
        <v>716</v>
      </c>
    </row>
    <row r="252" spans="2:6" ht="24" customHeight="1" x14ac:dyDescent="0.35">
      <c r="B252" s="31" t="s">
        <v>1028</v>
      </c>
      <c r="C252" s="31" t="s">
        <v>708</v>
      </c>
      <c r="D252" s="31" t="s">
        <v>31</v>
      </c>
      <c r="E252" s="31" t="s">
        <v>1257</v>
      </c>
      <c r="F252" s="31" t="s">
        <v>1258</v>
      </c>
    </row>
    <row r="253" spans="2:6" ht="24" customHeight="1" x14ac:dyDescent="0.35">
      <c r="B253" s="31" t="s">
        <v>1028</v>
      </c>
      <c r="C253" s="31" t="s">
        <v>718</v>
      </c>
      <c r="D253" s="31" t="s">
        <v>31</v>
      </c>
      <c r="E253" s="31" t="s">
        <v>1259</v>
      </c>
      <c r="F253" s="31" t="s">
        <v>1260</v>
      </c>
    </row>
    <row r="254" spans="2:6" ht="16" customHeight="1" x14ac:dyDescent="0.35">
      <c r="B254" s="31" t="s">
        <v>1028</v>
      </c>
      <c r="C254" s="31" t="s">
        <v>727</v>
      </c>
      <c r="D254" s="31" t="s">
        <v>31</v>
      </c>
      <c r="E254" s="31" t="s">
        <v>1261</v>
      </c>
      <c r="F254" s="31" t="s">
        <v>1262</v>
      </c>
    </row>
    <row r="255" spans="2:6" ht="16" customHeight="1" x14ac:dyDescent="0.35">
      <c r="B255" s="31" t="s">
        <v>1028</v>
      </c>
      <c r="C255" s="31" t="s">
        <v>735</v>
      </c>
      <c r="D255" s="31" t="s">
        <v>13</v>
      </c>
      <c r="E255" s="31" t="s">
        <v>1042</v>
      </c>
      <c r="F255" s="31" t="s">
        <v>1263</v>
      </c>
    </row>
    <row r="256" spans="2:6" ht="16" customHeight="1" x14ac:dyDescent="0.35">
      <c r="B256" s="31" t="s">
        <v>1028</v>
      </c>
      <c r="C256" s="31" t="s">
        <v>735</v>
      </c>
      <c r="D256" s="31" t="s">
        <v>14</v>
      </c>
      <c r="E256" s="31" t="s">
        <v>1264</v>
      </c>
      <c r="F256" s="31" t="s">
        <v>1265</v>
      </c>
    </row>
    <row r="257" spans="2:6" ht="16" customHeight="1" x14ac:dyDescent="0.35">
      <c r="B257" s="31" t="s">
        <v>1028</v>
      </c>
      <c r="C257" s="31" t="s">
        <v>735</v>
      </c>
      <c r="D257" s="31" t="s">
        <v>18</v>
      </c>
      <c r="E257" s="31" t="s">
        <v>1266</v>
      </c>
      <c r="F257" s="31" t="s">
        <v>738</v>
      </c>
    </row>
    <row r="258" spans="2:6" ht="24" customHeight="1" x14ac:dyDescent="0.35">
      <c r="B258" s="31" t="s">
        <v>1028</v>
      </c>
      <c r="C258" s="31" t="s">
        <v>735</v>
      </c>
      <c r="D258" s="31" t="s">
        <v>20</v>
      </c>
      <c r="E258" s="31" t="s">
        <v>1267</v>
      </c>
      <c r="F258" s="31" t="s">
        <v>1268</v>
      </c>
    </row>
    <row r="259" spans="2:6" ht="16" customHeight="1" x14ac:dyDescent="0.35">
      <c r="B259" s="31" t="s">
        <v>1028</v>
      </c>
      <c r="C259" s="31" t="s">
        <v>735</v>
      </c>
      <c r="D259" s="31" t="s">
        <v>22</v>
      </c>
      <c r="E259" s="31" t="s">
        <v>115</v>
      </c>
      <c r="F259" s="31" t="s">
        <v>740</v>
      </c>
    </row>
    <row r="260" spans="2:6" ht="16" customHeight="1" x14ac:dyDescent="0.35">
      <c r="B260" s="31" t="s">
        <v>1028</v>
      </c>
      <c r="C260" s="31" t="s">
        <v>735</v>
      </c>
      <c r="D260" s="31" t="s">
        <v>25</v>
      </c>
      <c r="E260" s="31" t="s">
        <v>115</v>
      </c>
      <c r="F260" s="31" t="s">
        <v>741</v>
      </c>
    </row>
    <row r="261" spans="2:6" ht="16" customHeight="1" x14ac:dyDescent="0.35">
      <c r="B261" s="31" t="s">
        <v>1028</v>
      </c>
      <c r="C261" s="31" t="s">
        <v>735</v>
      </c>
      <c r="D261" s="31" t="s">
        <v>26</v>
      </c>
      <c r="E261" s="31" t="s">
        <v>1269</v>
      </c>
      <c r="F261" s="31" t="s">
        <v>1270</v>
      </c>
    </row>
    <row r="262" spans="2:6" ht="24" customHeight="1" x14ac:dyDescent="0.35">
      <c r="B262" s="31" t="s">
        <v>1028</v>
      </c>
      <c r="C262" s="31" t="s">
        <v>735</v>
      </c>
      <c r="D262" s="31" t="s">
        <v>31</v>
      </c>
      <c r="E262" s="31" t="s">
        <v>1271</v>
      </c>
      <c r="F262" s="31" t="s">
        <v>1272</v>
      </c>
    </row>
    <row r="263" spans="2:6" ht="16" customHeight="1" x14ac:dyDescent="0.35">
      <c r="B263" s="31" t="s">
        <v>1028</v>
      </c>
      <c r="C263" s="31" t="s">
        <v>745</v>
      </c>
      <c r="D263" s="31" t="s">
        <v>29</v>
      </c>
      <c r="E263" s="31" t="s">
        <v>1042</v>
      </c>
      <c r="F263" s="31" t="s">
        <v>755</v>
      </c>
    </row>
    <row r="264" spans="2:6" ht="16" customHeight="1" x14ac:dyDescent="0.35">
      <c r="B264" s="31" t="s">
        <v>1028</v>
      </c>
      <c r="C264" s="31" t="s">
        <v>745</v>
      </c>
      <c r="D264" s="31" t="s">
        <v>31</v>
      </c>
      <c r="E264" s="31" t="s">
        <v>1273</v>
      </c>
      <c r="F264" s="31" t="s">
        <v>1274</v>
      </c>
    </row>
    <row r="265" spans="2:6" ht="24" customHeight="1" x14ac:dyDescent="0.35">
      <c r="B265" s="31" t="s">
        <v>1028</v>
      </c>
      <c r="C265" s="31" t="s">
        <v>757</v>
      </c>
      <c r="D265" s="31" t="s">
        <v>29</v>
      </c>
      <c r="E265" s="31" t="s">
        <v>1042</v>
      </c>
      <c r="F265" s="31" t="s">
        <v>764</v>
      </c>
    </row>
    <row r="266" spans="2:6" ht="16" customHeight="1" x14ac:dyDescent="0.35">
      <c r="B266" s="31" t="s">
        <v>1028</v>
      </c>
      <c r="C266" s="31" t="s">
        <v>757</v>
      </c>
      <c r="D266" s="31" t="s">
        <v>31</v>
      </c>
      <c r="E266" s="31" t="s">
        <v>1275</v>
      </c>
      <c r="F266" s="31" t="s">
        <v>1276</v>
      </c>
    </row>
    <row r="267" spans="2:6" ht="16" customHeight="1" x14ac:dyDescent="0.35">
      <c r="B267" s="31" t="s">
        <v>1028</v>
      </c>
      <c r="C267" s="31" t="s">
        <v>766</v>
      </c>
      <c r="D267" s="31" t="s">
        <v>29</v>
      </c>
      <c r="E267" s="31" t="s">
        <v>1042</v>
      </c>
      <c r="F267" s="31" t="s">
        <v>771</v>
      </c>
    </row>
    <row r="268" spans="2:6" ht="24" customHeight="1" x14ac:dyDescent="0.35">
      <c r="B268" s="31" t="s">
        <v>1028</v>
      </c>
      <c r="C268" s="31" t="s">
        <v>766</v>
      </c>
      <c r="D268" s="31" t="s">
        <v>31</v>
      </c>
      <c r="E268" s="31" t="s">
        <v>1277</v>
      </c>
      <c r="F268" s="31" t="s">
        <v>1278</v>
      </c>
    </row>
    <row r="269" spans="2:6" ht="24" customHeight="1" x14ac:dyDescent="0.35">
      <c r="B269" s="31" t="s">
        <v>1028</v>
      </c>
      <c r="C269" s="31" t="s">
        <v>773</v>
      </c>
      <c r="D269" s="31" t="s">
        <v>29</v>
      </c>
      <c r="E269" s="31" t="s">
        <v>1042</v>
      </c>
      <c r="F269" s="31" t="s">
        <v>780</v>
      </c>
    </row>
    <row r="270" spans="2:6" ht="16" customHeight="1" x14ac:dyDescent="0.35">
      <c r="B270" s="31" t="s">
        <v>1028</v>
      </c>
      <c r="C270" s="31" t="s">
        <v>773</v>
      </c>
      <c r="D270" s="31" t="s">
        <v>31</v>
      </c>
      <c r="E270" s="31" t="s">
        <v>1279</v>
      </c>
      <c r="F270" s="31" t="s">
        <v>1280</v>
      </c>
    </row>
    <row r="271" spans="2:6" ht="16" customHeight="1" x14ac:dyDescent="0.35">
      <c r="B271" s="31" t="s">
        <v>1028</v>
      </c>
      <c r="C271" s="31" t="s">
        <v>782</v>
      </c>
      <c r="D271" s="31" t="s">
        <v>29</v>
      </c>
      <c r="E271" s="31" t="s">
        <v>1042</v>
      </c>
      <c r="F271" s="31" t="s">
        <v>790</v>
      </c>
    </row>
    <row r="272" spans="2:6" ht="16" customHeight="1" x14ac:dyDescent="0.35">
      <c r="B272" s="31" t="s">
        <v>1028</v>
      </c>
      <c r="C272" s="31" t="s">
        <v>782</v>
      </c>
      <c r="D272" s="31" t="s">
        <v>31</v>
      </c>
      <c r="E272" s="31" t="s">
        <v>1281</v>
      </c>
      <c r="F272" s="31" t="s">
        <v>1282</v>
      </c>
    </row>
    <row r="273" spans="2:6" ht="16" customHeight="1" x14ac:dyDescent="0.35">
      <c r="B273" s="31" t="s">
        <v>1028</v>
      </c>
      <c r="C273" s="31" t="s">
        <v>792</v>
      </c>
      <c r="D273" s="31" t="s">
        <v>9</v>
      </c>
      <c r="E273" s="31" t="s">
        <v>1283</v>
      </c>
      <c r="F273" s="31" t="s">
        <v>794</v>
      </c>
    </row>
    <row r="274" spans="2:6" ht="24" customHeight="1" x14ac:dyDescent="0.35">
      <c r="B274" s="31" t="s">
        <v>1028</v>
      </c>
      <c r="C274" s="31" t="s">
        <v>792</v>
      </c>
      <c r="D274" s="31" t="s">
        <v>22</v>
      </c>
      <c r="E274" s="31" t="s">
        <v>115</v>
      </c>
      <c r="F274" s="31" t="s">
        <v>796</v>
      </c>
    </row>
    <row r="275" spans="2:6" ht="24" customHeight="1" x14ac:dyDescent="0.35">
      <c r="B275" s="31" t="s">
        <v>1028</v>
      </c>
      <c r="C275" s="31" t="s">
        <v>792</v>
      </c>
      <c r="D275" s="31" t="s">
        <v>29</v>
      </c>
      <c r="E275" s="31" t="s">
        <v>1042</v>
      </c>
      <c r="F275" s="31" t="s">
        <v>1284</v>
      </c>
    </row>
    <row r="276" spans="2:6" ht="16" customHeight="1" x14ac:dyDescent="0.35">
      <c r="B276" s="31" t="s">
        <v>1028</v>
      </c>
      <c r="C276" s="31" t="s">
        <v>792</v>
      </c>
      <c r="D276" s="31" t="s">
        <v>31</v>
      </c>
      <c r="E276" s="31" t="s">
        <v>1285</v>
      </c>
      <c r="F276" s="31" t="s">
        <v>1286</v>
      </c>
    </row>
    <row r="277" spans="2:6" ht="16" customHeight="1" x14ac:dyDescent="0.35">
      <c r="B277" s="31" t="s">
        <v>1028</v>
      </c>
      <c r="C277" s="31" t="s">
        <v>802</v>
      </c>
      <c r="D277" s="31" t="s">
        <v>9</v>
      </c>
      <c r="E277" s="31" t="s">
        <v>1287</v>
      </c>
      <c r="F277" s="31" t="s">
        <v>804</v>
      </c>
    </row>
    <row r="278" spans="2:6" ht="16" customHeight="1" x14ac:dyDescent="0.35">
      <c r="B278" s="31" t="s">
        <v>1028</v>
      </c>
      <c r="C278" s="31" t="s">
        <v>802</v>
      </c>
      <c r="D278" s="31" t="s">
        <v>29</v>
      </c>
      <c r="E278" s="31" t="s">
        <v>1042</v>
      </c>
      <c r="F278" s="31" t="s">
        <v>807</v>
      </c>
    </row>
    <row r="279" spans="2:6" ht="16" customHeight="1" x14ac:dyDescent="0.35">
      <c r="B279" s="31" t="s">
        <v>1028</v>
      </c>
      <c r="C279" s="31" t="s">
        <v>802</v>
      </c>
      <c r="D279" s="31" t="s">
        <v>31</v>
      </c>
      <c r="E279" s="31" t="s">
        <v>1285</v>
      </c>
      <c r="F279" s="31" t="s">
        <v>1288</v>
      </c>
    </row>
    <row r="280" spans="2:6" ht="16" customHeight="1" x14ac:dyDescent="0.35">
      <c r="B280" s="31" t="s">
        <v>1028</v>
      </c>
      <c r="C280" s="31" t="s">
        <v>809</v>
      </c>
      <c r="D280" s="31" t="s">
        <v>9</v>
      </c>
      <c r="E280" s="31" t="s">
        <v>1289</v>
      </c>
      <c r="F280" s="31" t="s">
        <v>811</v>
      </c>
    </row>
    <row r="281" spans="2:6" ht="16" customHeight="1" x14ac:dyDescent="0.35">
      <c r="B281" s="31" t="s">
        <v>1028</v>
      </c>
      <c r="C281" s="31" t="s">
        <v>809</v>
      </c>
      <c r="D281" s="31" t="s">
        <v>29</v>
      </c>
      <c r="E281" s="31" t="s">
        <v>1042</v>
      </c>
      <c r="F281" s="31" t="s">
        <v>815</v>
      </c>
    </row>
    <row r="282" spans="2:6" ht="16" customHeight="1" x14ac:dyDescent="0.35">
      <c r="B282" s="31" t="s">
        <v>1028</v>
      </c>
      <c r="C282" s="31" t="s">
        <v>809</v>
      </c>
      <c r="D282" s="31" t="s">
        <v>31</v>
      </c>
      <c r="E282" s="31" t="s">
        <v>1290</v>
      </c>
      <c r="F282" s="31" t="s">
        <v>1291</v>
      </c>
    </row>
    <row r="283" spans="2:6" ht="16" customHeight="1" x14ac:dyDescent="0.35">
      <c r="B283" s="31" t="s">
        <v>1028</v>
      </c>
      <c r="C283" s="31" t="s">
        <v>817</v>
      </c>
      <c r="D283" s="31" t="s">
        <v>9</v>
      </c>
      <c r="E283" s="31" t="s">
        <v>1292</v>
      </c>
      <c r="F283" s="31" t="s">
        <v>819</v>
      </c>
    </row>
    <row r="284" spans="2:6" ht="16" customHeight="1" x14ac:dyDescent="0.35">
      <c r="B284" s="31" t="s">
        <v>1028</v>
      </c>
      <c r="C284" s="31" t="s">
        <v>817</v>
      </c>
      <c r="D284" s="31" t="s">
        <v>22</v>
      </c>
      <c r="E284" s="31" t="s">
        <v>115</v>
      </c>
      <c r="F284" s="31" t="s">
        <v>796</v>
      </c>
    </row>
    <row r="285" spans="2:6" ht="16" customHeight="1" x14ac:dyDescent="0.35">
      <c r="B285" s="31" t="s">
        <v>1028</v>
      </c>
      <c r="C285" s="31" t="s">
        <v>817</v>
      </c>
      <c r="D285" s="31" t="s">
        <v>29</v>
      </c>
      <c r="E285" s="31" t="s">
        <v>1042</v>
      </c>
      <c r="F285" s="31" t="s">
        <v>1284</v>
      </c>
    </row>
    <row r="286" spans="2:6" ht="16" customHeight="1" x14ac:dyDescent="0.35">
      <c r="B286" s="31" t="s">
        <v>1028</v>
      </c>
      <c r="C286" s="31" t="s">
        <v>817</v>
      </c>
      <c r="D286" s="31" t="s">
        <v>31</v>
      </c>
      <c r="E286" s="31" t="s">
        <v>1285</v>
      </c>
      <c r="F286" s="31" t="s">
        <v>1293</v>
      </c>
    </row>
    <row r="287" spans="2:6" ht="16" customHeight="1" x14ac:dyDescent="0.35">
      <c r="B287" s="31" t="s">
        <v>1028</v>
      </c>
      <c r="C287" s="31" t="s">
        <v>822</v>
      </c>
      <c r="D287" s="31" t="s">
        <v>9</v>
      </c>
      <c r="E287" s="31" t="s">
        <v>1294</v>
      </c>
      <c r="F287" s="31" t="s">
        <v>824</v>
      </c>
    </row>
    <row r="288" spans="2:6" ht="16" customHeight="1" x14ac:dyDescent="0.35">
      <c r="B288" s="31" t="s">
        <v>1028</v>
      </c>
      <c r="C288" s="31" t="s">
        <v>822</v>
      </c>
      <c r="D288" s="31" t="s">
        <v>22</v>
      </c>
      <c r="E288" s="31" t="s">
        <v>115</v>
      </c>
      <c r="F288" s="31" t="s">
        <v>827</v>
      </c>
    </row>
    <row r="289" spans="2:6" ht="16" customHeight="1" x14ac:dyDescent="0.35">
      <c r="B289" s="31" t="s">
        <v>1028</v>
      </c>
      <c r="C289" s="31" t="s">
        <v>822</v>
      </c>
      <c r="D289" s="31" t="s">
        <v>29</v>
      </c>
      <c r="E289" s="31" t="s">
        <v>1042</v>
      </c>
      <c r="F289" s="31" t="s">
        <v>829</v>
      </c>
    </row>
    <row r="290" spans="2:6" ht="16" customHeight="1" x14ac:dyDescent="0.35">
      <c r="B290" s="31" t="s">
        <v>1028</v>
      </c>
      <c r="C290" s="31" t="s">
        <v>822</v>
      </c>
      <c r="D290" s="31" t="s">
        <v>31</v>
      </c>
      <c r="E290" s="31" t="s">
        <v>1295</v>
      </c>
      <c r="F290" s="31" t="s">
        <v>1296</v>
      </c>
    </row>
    <row r="291" spans="2:6" ht="24" customHeight="1" x14ac:dyDescent="0.35">
      <c r="B291" s="31" t="s">
        <v>1028</v>
      </c>
      <c r="C291" s="31" t="s">
        <v>831</v>
      </c>
      <c r="D291" s="31" t="s">
        <v>29</v>
      </c>
      <c r="E291" s="31" t="s">
        <v>1042</v>
      </c>
      <c r="F291" s="31" t="s">
        <v>836</v>
      </c>
    </row>
    <row r="292" spans="2:6" ht="16" customHeight="1" x14ac:dyDescent="0.35">
      <c r="B292" s="31" t="s">
        <v>1028</v>
      </c>
      <c r="C292" s="31" t="s">
        <v>831</v>
      </c>
      <c r="D292" s="31" t="s">
        <v>31</v>
      </c>
      <c r="E292" s="31" t="s">
        <v>1297</v>
      </c>
      <c r="F292" s="31" t="s">
        <v>1298</v>
      </c>
    </row>
    <row r="293" spans="2:6" ht="16" customHeight="1" x14ac:dyDescent="0.35">
      <c r="B293" s="31" t="s">
        <v>1028</v>
      </c>
      <c r="C293" s="31" t="s">
        <v>838</v>
      </c>
      <c r="D293" s="31" t="s">
        <v>9</v>
      </c>
      <c r="E293" s="31" t="s">
        <v>1299</v>
      </c>
      <c r="F293" s="31" t="s">
        <v>1300</v>
      </c>
    </row>
    <row r="294" spans="2:6" ht="36" customHeight="1" x14ac:dyDescent="0.35">
      <c r="B294" s="31" t="s">
        <v>1028</v>
      </c>
      <c r="C294" s="31" t="s">
        <v>838</v>
      </c>
      <c r="D294" s="31" t="s">
        <v>26</v>
      </c>
      <c r="E294" s="31" t="s">
        <v>1301</v>
      </c>
      <c r="F294" s="31" t="s">
        <v>1246</v>
      </c>
    </row>
    <row r="295" spans="2:6" ht="16" customHeight="1" x14ac:dyDescent="0.35">
      <c r="B295" s="31" t="s">
        <v>1028</v>
      </c>
      <c r="C295" s="31" t="s">
        <v>838</v>
      </c>
      <c r="D295" s="31" t="s">
        <v>29</v>
      </c>
      <c r="E295" s="31" t="s">
        <v>1042</v>
      </c>
      <c r="F295" s="31" t="s">
        <v>688</v>
      </c>
    </row>
    <row r="296" spans="2:6" ht="16" customHeight="1" x14ac:dyDescent="0.35">
      <c r="B296" s="31" t="s">
        <v>1028</v>
      </c>
      <c r="C296" s="31" t="s">
        <v>838</v>
      </c>
      <c r="D296" s="31" t="s">
        <v>31</v>
      </c>
      <c r="E296" s="31" t="s">
        <v>1302</v>
      </c>
      <c r="F296" s="31" t="s">
        <v>1303</v>
      </c>
    </row>
    <row r="297" spans="2:6" ht="24" customHeight="1" x14ac:dyDescent="0.35">
      <c r="B297" s="31" t="s">
        <v>1028</v>
      </c>
      <c r="C297" s="31" t="s">
        <v>843</v>
      </c>
      <c r="D297" s="31" t="s">
        <v>9</v>
      </c>
      <c r="E297" s="31" t="s">
        <v>1304</v>
      </c>
      <c r="F297" s="31" t="s">
        <v>845</v>
      </c>
    </row>
    <row r="298" spans="2:6" ht="16" customHeight="1" x14ac:dyDescent="0.35">
      <c r="B298" s="31" t="s">
        <v>1028</v>
      </c>
      <c r="C298" s="31" t="s">
        <v>843</v>
      </c>
      <c r="D298" s="31" t="s">
        <v>22</v>
      </c>
      <c r="E298" s="31" t="s">
        <v>115</v>
      </c>
      <c r="F298" s="31" t="s">
        <v>847</v>
      </c>
    </row>
    <row r="299" spans="2:6" ht="16" customHeight="1" x14ac:dyDescent="0.35">
      <c r="B299" s="31" t="s">
        <v>1028</v>
      </c>
      <c r="C299" s="31" t="s">
        <v>843</v>
      </c>
      <c r="D299" s="31" t="s">
        <v>29</v>
      </c>
      <c r="E299" s="31" t="s">
        <v>1042</v>
      </c>
      <c r="F299" s="31" t="s">
        <v>1305</v>
      </c>
    </row>
    <row r="300" spans="2:6" ht="24" customHeight="1" x14ac:dyDescent="0.35">
      <c r="B300" s="31" t="s">
        <v>1028</v>
      </c>
      <c r="C300" s="31" t="s">
        <v>843</v>
      </c>
      <c r="D300" s="31" t="s">
        <v>31</v>
      </c>
      <c r="E300" s="31" t="s">
        <v>1306</v>
      </c>
      <c r="F300" s="31" t="s">
        <v>1307</v>
      </c>
    </row>
    <row r="301" spans="2:6" ht="24" customHeight="1" x14ac:dyDescent="0.35">
      <c r="B301" s="31" t="s">
        <v>1028</v>
      </c>
      <c r="C301" s="31" t="s">
        <v>851</v>
      </c>
      <c r="D301" s="31" t="s">
        <v>9</v>
      </c>
      <c r="E301" s="31" t="s">
        <v>1308</v>
      </c>
      <c r="F301" s="31" t="s">
        <v>854</v>
      </c>
    </row>
    <row r="302" spans="2:6" ht="24" customHeight="1" x14ac:dyDescent="0.35">
      <c r="B302" s="31" t="s">
        <v>1028</v>
      </c>
      <c r="C302" s="31" t="s">
        <v>851</v>
      </c>
      <c r="D302" s="31" t="s">
        <v>22</v>
      </c>
      <c r="E302" s="31" t="s">
        <v>115</v>
      </c>
      <c r="F302" s="31" t="s">
        <v>856</v>
      </c>
    </row>
    <row r="303" spans="2:6" ht="24" customHeight="1" x14ac:dyDescent="0.35">
      <c r="B303" s="31" t="s">
        <v>1028</v>
      </c>
      <c r="C303" s="31" t="s">
        <v>851</v>
      </c>
      <c r="D303" s="31" t="s">
        <v>29</v>
      </c>
      <c r="E303" s="31" t="s">
        <v>1042</v>
      </c>
      <c r="F303" s="31" t="s">
        <v>858</v>
      </c>
    </row>
    <row r="304" spans="2:6" ht="16" customHeight="1" x14ac:dyDescent="0.35">
      <c r="B304" s="31" t="s">
        <v>1028</v>
      </c>
      <c r="C304" s="31" t="s">
        <v>851</v>
      </c>
      <c r="D304" s="31" t="s">
        <v>31</v>
      </c>
      <c r="E304" s="31" t="s">
        <v>1309</v>
      </c>
      <c r="F304" s="31" t="s">
        <v>1310</v>
      </c>
    </row>
    <row r="305" spans="2:6" ht="16" customHeight="1" x14ac:dyDescent="0.35">
      <c r="B305" s="31" t="s">
        <v>1028</v>
      </c>
      <c r="C305" s="31" t="s">
        <v>860</v>
      </c>
      <c r="D305" s="31" t="s">
        <v>9</v>
      </c>
      <c r="E305" s="31" t="s">
        <v>1311</v>
      </c>
      <c r="F305" s="31" t="s">
        <v>1312</v>
      </c>
    </row>
    <row r="306" spans="2:6" ht="16" customHeight="1" x14ac:dyDescent="0.35">
      <c r="B306" s="31" t="s">
        <v>1028</v>
      </c>
      <c r="C306" s="31" t="s">
        <v>860</v>
      </c>
      <c r="D306" s="31" t="s">
        <v>29</v>
      </c>
      <c r="E306" s="31" t="s">
        <v>1042</v>
      </c>
      <c r="F306" s="31" t="s">
        <v>1313</v>
      </c>
    </row>
    <row r="307" spans="2:6" ht="16" customHeight="1" x14ac:dyDescent="0.35">
      <c r="B307" s="31" t="s">
        <v>1028</v>
      </c>
      <c r="C307" s="31" t="s">
        <v>860</v>
      </c>
      <c r="D307" s="31" t="s">
        <v>31</v>
      </c>
      <c r="E307" s="31" t="s">
        <v>1285</v>
      </c>
      <c r="F307" s="31" t="s">
        <v>1314</v>
      </c>
    </row>
    <row r="308" spans="2:6" ht="24" customHeight="1" x14ac:dyDescent="0.35">
      <c r="B308" s="31" t="s">
        <v>1028</v>
      </c>
      <c r="C308" s="31" t="s">
        <v>866</v>
      </c>
      <c r="D308" s="31" t="s">
        <v>14</v>
      </c>
      <c r="E308" s="31" t="s">
        <v>1042</v>
      </c>
      <c r="F308" s="31" t="s">
        <v>1315</v>
      </c>
    </row>
    <row r="309" spans="2:6" ht="24" customHeight="1" x14ac:dyDescent="0.35">
      <c r="B309" s="31" t="s">
        <v>1028</v>
      </c>
      <c r="C309" s="31" t="s">
        <v>866</v>
      </c>
      <c r="D309" s="31" t="s">
        <v>15</v>
      </c>
      <c r="E309" s="31" t="s">
        <v>1042</v>
      </c>
      <c r="F309" s="31" t="s">
        <v>1316</v>
      </c>
    </row>
    <row r="310" spans="2:6" ht="16" customHeight="1" x14ac:dyDescent="0.35">
      <c r="B310" s="31" t="s">
        <v>1028</v>
      </c>
      <c r="C310" s="31" t="s">
        <v>866</v>
      </c>
      <c r="D310" s="31" t="s">
        <v>25</v>
      </c>
      <c r="E310" s="31" t="s">
        <v>115</v>
      </c>
      <c r="F310" s="31" t="s">
        <v>872</v>
      </c>
    </row>
    <row r="311" spans="2:6" ht="16" customHeight="1" x14ac:dyDescent="0.35">
      <c r="B311" s="31" t="s">
        <v>1028</v>
      </c>
      <c r="C311" s="31" t="s">
        <v>866</v>
      </c>
      <c r="D311" s="31" t="s">
        <v>29</v>
      </c>
      <c r="E311" s="31" t="s">
        <v>1042</v>
      </c>
      <c r="F311" s="31" t="s">
        <v>874</v>
      </c>
    </row>
    <row r="312" spans="2:6" ht="16" customHeight="1" x14ac:dyDescent="0.35">
      <c r="B312" s="31" t="s">
        <v>1028</v>
      </c>
      <c r="C312" s="31" t="s">
        <v>866</v>
      </c>
      <c r="D312" s="31" t="s">
        <v>31</v>
      </c>
      <c r="E312" s="31" t="s">
        <v>1317</v>
      </c>
      <c r="F312" s="31" t="s">
        <v>1318</v>
      </c>
    </row>
    <row r="313" spans="2:6" ht="24" customHeight="1" x14ac:dyDescent="0.35">
      <c r="B313" s="31" t="s">
        <v>1028</v>
      </c>
      <c r="C313" s="31" t="s">
        <v>876</v>
      </c>
      <c r="D313" s="31" t="s">
        <v>1</v>
      </c>
      <c r="E313" s="31" t="s">
        <v>1319</v>
      </c>
      <c r="F313" s="31" t="s">
        <v>876</v>
      </c>
    </row>
    <row r="314" spans="2:6" ht="16" customHeight="1" x14ac:dyDescent="0.35">
      <c r="B314" s="31" t="s">
        <v>1028</v>
      </c>
      <c r="C314" s="31" t="s">
        <v>876</v>
      </c>
      <c r="D314" s="31" t="s">
        <v>9</v>
      </c>
      <c r="E314" s="31" t="s">
        <v>1320</v>
      </c>
      <c r="F314" s="31" t="s">
        <v>878</v>
      </c>
    </row>
    <row r="315" spans="2:6" ht="16" customHeight="1" x14ac:dyDescent="0.35">
      <c r="B315" s="31" t="s">
        <v>1028</v>
      </c>
      <c r="C315" s="31" t="s">
        <v>876</v>
      </c>
      <c r="D315" s="31" t="s">
        <v>22</v>
      </c>
      <c r="E315" s="31" t="s">
        <v>115</v>
      </c>
      <c r="F315" s="31" t="s">
        <v>827</v>
      </c>
    </row>
    <row r="316" spans="2:6" ht="24" customHeight="1" x14ac:dyDescent="0.35">
      <c r="B316" s="31" t="s">
        <v>1028</v>
      </c>
      <c r="C316" s="31" t="s">
        <v>876</v>
      </c>
      <c r="D316" s="31" t="s">
        <v>29</v>
      </c>
      <c r="E316" s="31" t="s">
        <v>1042</v>
      </c>
      <c r="F316" s="31" t="s">
        <v>880</v>
      </c>
    </row>
    <row r="317" spans="2:6" ht="16" customHeight="1" x14ac:dyDescent="0.35">
      <c r="B317" s="31" t="s">
        <v>1028</v>
      </c>
      <c r="C317" s="31" t="s">
        <v>876</v>
      </c>
      <c r="D317" s="31" t="s">
        <v>31</v>
      </c>
      <c r="E317" s="31" t="s">
        <v>1321</v>
      </c>
      <c r="F317" s="31" t="s">
        <v>1322</v>
      </c>
    </row>
    <row r="318" spans="2:6" ht="16" customHeight="1" x14ac:dyDescent="0.35">
      <c r="B318" s="31" t="s">
        <v>1028</v>
      </c>
      <c r="C318" s="31" t="s">
        <v>882</v>
      </c>
      <c r="D318" s="31" t="s">
        <v>9</v>
      </c>
      <c r="E318" s="31" t="s">
        <v>1323</v>
      </c>
      <c r="F318" s="31" t="s">
        <v>884</v>
      </c>
    </row>
    <row r="319" spans="2:6" ht="24" customHeight="1" x14ac:dyDescent="0.35">
      <c r="B319" s="31" t="s">
        <v>1028</v>
      </c>
      <c r="C319" s="31" t="s">
        <v>882</v>
      </c>
      <c r="D319" s="31" t="s">
        <v>29</v>
      </c>
      <c r="E319" s="31" t="s">
        <v>1042</v>
      </c>
      <c r="F319" s="31" t="s">
        <v>888</v>
      </c>
    </row>
    <row r="320" spans="2:6" ht="16" customHeight="1" x14ac:dyDescent="0.35">
      <c r="B320" s="31" t="s">
        <v>1028</v>
      </c>
      <c r="C320" s="31" t="s">
        <v>882</v>
      </c>
      <c r="D320" s="31" t="s">
        <v>31</v>
      </c>
      <c r="E320" s="31" t="s">
        <v>1324</v>
      </c>
      <c r="F320" s="31" t="s">
        <v>1325</v>
      </c>
    </row>
    <row r="321" spans="2:6" ht="24" customHeight="1" x14ac:dyDescent="0.35">
      <c r="B321" s="31" t="s">
        <v>1028</v>
      </c>
      <c r="C321" s="31" t="s">
        <v>890</v>
      </c>
      <c r="D321" s="31" t="s">
        <v>9</v>
      </c>
      <c r="E321" s="31" t="s">
        <v>1326</v>
      </c>
      <c r="F321" s="31" t="s">
        <v>892</v>
      </c>
    </row>
    <row r="322" spans="2:6" ht="24" customHeight="1" x14ac:dyDescent="0.35">
      <c r="B322" s="31" t="s">
        <v>1028</v>
      </c>
      <c r="C322" s="31" t="s">
        <v>890</v>
      </c>
      <c r="D322" s="31" t="s">
        <v>29</v>
      </c>
      <c r="E322" s="31" t="s">
        <v>1042</v>
      </c>
      <c r="F322" s="31" t="s">
        <v>888</v>
      </c>
    </row>
    <row r="323" spans="2:6" ht="24" customHeight="1" x14ac:dyDescent="0.35">
      <c r="B323" s="31" t="s">
        <v>1028</v>
      </c>
      <c r="C323" s="31" t="s">
        <v>890</v>
      </c>
      <c r="D323" s="31" t="s">
        <v>31</v>
      </c>
      <c r="E323" s="31" t="s">
        <v>1327</v>
      </c>
      <c r="F323" s="31" t="s">
        <v>1328</v>
      </c>
    </row>
    <row r="324" spans="2:6" ht="16" customHeight="1" x14ac:dyDescent="0.35">
      <c r="B324" s="31" t="s">
        <v>1028</v>
      </c>
      <c r="C324" s="31" t="s">
        <v>894</v>
      </c>
      <c r="D324" s="31" t="s">
        <v>9</v>
      </c>
      <c r="E324" s="31" t="s">
        <v>1329</v>
      </c>
      <c r="F324" s="31" t="s">
        <v>896</v>
      </c>
    </row>
    <row r="325" spans="2:6" ht="24" customHeight="1" x14ac:dyDescent="0.35">
      <c r="B325" s="31" t="s">
        <v>1028</v>
      </c>
      <c r="C325" s="31" t="s">
        <v>894</v>
      </c>
      <c r="D325" s="31" t="s">
        <v>29</v>
      </c>
      <c r="E325" s="31" t="s">
        <v>1042</v>
      </c>
      <c r="F325" s="31" t="s">
        <v>888</v>
      </c>
    </row>
    <row r="326" spans="2:6" ht="16" customHeight="1" x14ac:dyDescent="0.35">
      <c r="B326" s="31" t="s">
        <v>1028</v>
      </c>
      <c r="C326" s="31" t="s">
        <v>894</v>
      </c>
      <c r="D326" s="31" t="s">
        <v>31</v>
      </c>
      <c r="E326" s="31" t="s">
        <v>1330</v>
      </c>
      <c r="F326" s="31" t="s">
        <v>1331</v>
      </c>
    </row>
    <row r="327" spans="2:6" ht="16" customHeight="1" x14ac:dyDescent="0.35">
      <c r="B327" s="31" t="s">
        <v>1028</v>
      </c>
      <c r="C327" s="31" t="s">
        <v>899</v>
      </c>
      <c r="D327" s="31" t="s">
        <v>9</v>
      </c>
      <c r="E327" s="31" t="s">
        <v>1332</v>
      </c>
      <c r="F327" s="31" t="s">
        <v>901</v>
      </c>
    </row>
    <row r="328" spans="2:6" ht="16" customHeight="1" x14ac:dyDescent="0.35">
      <c r="B328" s="31" t="s">
        <v>1028</v>
      </c>
      <c r="C328" s="31" t="s">
        <v>899</v>
      </c>
      <c r="D328" s="31" t="s">
        <v>29</v>
      </c>
      <c r="E328" s="31" t="s">
        <v>1042</v>
      </c>
      <c r="F328" s="31" t="s">
        <v>1333</v>
      </c>
    </row>
    <row r="329" spans="2:6" ht="24" customHeight="1" x14ac:dyDescent="0.35">
      <c r="B329" s="31" t="s">
        <v>1028</v>
      </c>
      <c r="C329" s="31" t="s">
        <v>899</v>
      </c>
      <c r="D329" s="31" t="s">
        <v>31</v>
      </c>
      <c r="E329" s="31" t="s">
        <v>1334</v>
      </c>
      <c r="F329" s="31" t="s">
        <v>1335</v>
      </c>
    </row>
    <row r="330" spans="2:6" ht="16" customHeight="1" x14ac:dyDescent="0.35">
      <c r="B330" s="31" t="s">
        <v>1028</v>
      </c>
      <c r="C330" s="31" t="s">
        <v>906</v>
      </c>
      <c r="D330" s="31" t="s">
        <v>9</v>
      </c>
      <c r="E330" s="31" t="s">
        <v>1336</v>
      </c>
      <c r="F330" s="31" t="s">
        <v>1337</v>
      </c>
    </row>
    <row r="331" spans="2:6" ht="16" customHeight="1" x14ac:dyDescent="0.35">
      <c r="B331" s="31" t="s">
        <v>1028</v>
      </c>
      <c r="C331" s="31" t="s">
        <v>906</v>
      </c>
      <c r="D331" s="31" t="s">
        <v>29</v>
      </c>
      <c r="E331" s="31" t="s">
        <v>1042</v>
      </c>
      <c r="F331" s="31" t="s">
        <v>914</v>
      </c>
    </row>
    <row r="332" spans="2:6" ht="24" customHeight="1" x14ac:dyDescent="0.35">
      <c r="B332" s="31" t="s">
        <v>1028</v>
      </c>
      <c r="C332" s="31" t="s">
        <v>906</v>
      </c>
      <c r="D332" s="31" t="s">
        <v>31</v>
      </c>
      <c r="E332" s="31" t="s">
        <v>1338</v>
      </c>
      <c r="F332" s="31" t="s">
        <v>1339</v>
      </c>
    </row>
    <row r="333" spans="2:6" ht="16" customHeight="1" x14ac:dyDescent="0.35">
      <c r="B333" s="31" t="s">
        <v>1028</v>
      </c>
      <c r="C333" s="31" t="s">
        <v>916</v>
      </c>
      <c r="D333" s="31" t="s">
        <v>9</v>
      </c>
      <c r="E333" s="31" t="s">
        <v>1340</v>
      </c>
      <c r="F333" s="31" t="s">
        <v>918</v>
      </c>
    </row>
    <row r="334" spans="2:6" ht="16" customHeight="1" x14ac:dyDescent="0.35">
      <c r="B334" s="31" t="s">
        <v>1028</v>
      </c>
      <c r="C334" s="31" t="s">
        <v>916</v>
      </c>
      <c r="D334" s="31" t="s">
        <v>22</v>
      </c>
      <c r="E334" s="31" t="s">
        <v>115</v>
      </c>
      <c r="F334" s="31" t="s">
        <v>920</v>
      </c>
    </row>
    <row r="335" spans="2:6" ht="16" customHeight="1" x14ac:dyDescent="0.35">
      <c r="B335" s="31" t="s">
        <v>1028</v>
      </c>
      <c r="C335" s="31" t="s">
        <v>916</v>
      </c>
      <c r="D335" s="31" t="s">
        <v>29</v>
      </c>
      <c r="E335" s="31" t="s">
        <v>1042</v>
      </c>
      <c r="F335" s="31" t="s">
        <v>922</v>
      </c>
    </row>
    <row r="336" spans="2:6" ht="16" customHeight="1" x14ac:dyDescent="0.35">
      <c r="B336" s="31" t="s">
        <v>1028</v>
      </c>
      <c r="C336" s="31" t="s">
        <v>916</v>
      </c>
      <c r="D336" s="31" t="s">
        <v>31</v>
      </c>
      <c r="E336" s="31" t="s">
        <v>1341</v>
      </c>
      <c r="F336" s="31" t="s">
        <v>1342</v>
      </c>
    </row>
    <row r="337" spans="2:6" ht="16" customHeight="1" x14ac:dyDescent="0.35">
      <c r="B337" s="31" t="s">
        <v>1028</v>
      </c>
      <c r="C337" s="31" t="s">
        <v>924</v>
      </c>
      <c r="D337" s="31" t="s">
        <v>9</v>
      </c>
      <c r="E337" s="31" t="s">
        <v>1343</v>
      </c>
      <c r="F337" s="31" t="s">
        <v>926</v>
      </c>
    </row>
    <row r="338" spans="2:6" ht="36" customHeight="1" x14ac:dyDescent="0.35">
      <c r="B338" s="31" t="s">
        <v>1028</v>
      </c>
      <c r="C338" s="31" t="s">
        <v>924</v>
      </c>
      <c r="D338" s="31" t="s">
        <v>29</v>
      </c>
      <c r="E338" s="31" t="s">
        <v>1042</v>
      </c>
      <c r="F338" s="31" t="s">
        <v>929</v>
      </c>
    </row>
    <row r="339" spans="2:6" ht="16" customHeight="1" x14ac:dyDescent="0.35">
      <c r="B339" s="31" t="s">
        <v>1028</v>
      </c>
      <c r="C339" s="31" t="s">
        <v>924</v>
      </c>
      <c r="D339" s="31" t="s">
        <v>31</v>
      </c>
      <c r="E339" s="31" t="s">
        <v>1344</v>
      </c>
      <c r="F339" s="31" t="s">
        <v>1345</v>
      </c>
    </row>
    <row r="340" spans="2:6" ht="24" customHeight="1" x14ac:dyDescent="0.35">
      <c r="B340" s="31" t="s">
        <v>1028</v>
      </c>
      <c r="C340" s="31" t="s">
        <v>931</v>
      </c>
      <c r="D340" s="31" t="s">
        <v>9</v>
      </c>
      <c r="E340" s="31" t="s">
        <v>1346</v>
      </c>
      <c r="F340" s="31" t="s">
        <v>933</v>
      </c>
    </row>
    <row r="341" spans="2:6" ht="24" customHeight="1" x14ac:dyDescent="0.35">
      <c r="B341" s="31" t="s">
        <v>1028</v>
      </c>
      <c r="C341" s="31" t="s">
        <v>931</v>
      </c>
      <c r="D341" s="31" t="s">
        <v>29</v>
      </c>
      <c r="E341" s="31" t="s">
        <v>1042</v>
      </c>
      <c r="F341" s="31" t="s">
        <v>936</v>
      </c>
    </row>
    <row r="342" spans="2:6" ht="24" customHeight="1" x14ac:dyDescent="0.35">
      <c r="B342" s="31" t="s">
        <v>1028</v>
      </c>
      <c r="C342" s="31" t="s">
        <v>931</v>
      </c>
      <c r="D342" s="31" t="s">
        <v>31</v>
      </c>
      <c r="E342" s="31" t="s">
        <v>1347</v>
      </c>
      <c r="F342" s="31" t="s">
        <v>1348</v>
      </c>
    </row>
    <row r="343" spans="2:6" ht="24" customHeight="1" x14ac:dyDescent="0.35">
      <c r="B343" s="31" t="s">
        <v>1028</v>
      </c>
      <c r="C343" s="31" t="s">
        <v>938</v>
      </c>
      <c r="D343" s="31" t="s">
        <v>1</v>
      </c>
      <c r="E343" s="31" t="s">
        <v>1349</v>
      </c>
      <c r="F343" s="31" t="s">
        <v>938</v>
      </c>
    </row>
    <row r="344" spans="2:6" ht="16" customHeight="1" x14ac:dyDescent="0.35">
      <c r="B344" s="31" t="s">
        <v>1028</v>
      </c>
      <c r="C344" s="31" t="s">
        <v>938</v>
      </c>
      <c r="D344" s="31" t="s">
        <v>9</v>
      </c>
      <c r="E344" s="31" t="s">
        <v>1350</v>
      </c>
      <c r="F344" s="31" t="s">
        <v>940</v>
      </c>
    </row>
    <row r="345" spans="2:6" ht="24" customHeight="1" x14ac:dyDescent="0.35">
      <c r="B345" s="31" t="s">
        <v>1028</v>
      </c>
      <c r="C345" s="31" t="s">
        <v>938</v>
      </c>
      <c r="D345" s="31" t="s">
        <v>22</v>
      </c>
      <c r="E345" s="31" t="s">
        <v>115</v>
      </c>
      <c r="F345" s="31" t="s">
        <v>827</v>
      </c>
    </row>
    <row r="346" spans="2:6" ht="24" customHeight="1" x14ac:dyDescent="0.35">
      <c r="B346" s="31" t="s">
        <v>1028</v>
      </c>
      <c r="C346" s="31" t="s">
        <v>938</v>
      </c>
      <c r="D346" s="31" t="s">
        <v>29</v>
      </c>
      <c r="E346" s="31" t="s">
        <v>1042</v>
      </c>
      <c r="F346" s="31" t="s">
        <v>942</v>
      </c>
    </row>
    <row r="347" spans="2:6" ht="16" customHeight="1" x14ac:dyDescent="0.35">
      <c r="B347" s="31" t="s">
        <v>1028</v>
      </c>
      <c r="C347" s="31" t="s">
        <v>938</v>
      </c>
      <c r="D347" s="31" t="s">
        <v>31</v>
      </c>
      <c r="E347" s="31" t="s">
        <v>1351</v>
      </c>
      <c r="F347" s="31" t="s">
        <v>1352</v>
      </c>
    </row>
    <row r="348" spans="2:6" ht="16" customHeight="1" x14ac:dyDescent="0.35">
      <c r="B348" s="31" t="s">
        <v>1028</v>
      </c>
      <c r="C348" s="31" t="s">
        <v>944</v>
      </c>
      <c r="D348" s="31" t="s">
        <v>9</v>
      </c>
      <c r="E348" s="31" t="s">
        <v>1353</v>
      </c>
      <c r="F348" s="31" t="s">
        <v>946</v>
      </c>
    </row>
    <row r="349" spans="2:6" ht="16" customHeight="1" x14ac:dyDescent="0.35">
      <c r="B349" s="31" t="s">
        <v>1028</v>
      </c>
      <c r="C349" s="31" t="s">
        <v>944</v>
      </c>
      <c r="D349" s="31" t="s">
        <v>29</v>
      </c>
      <c r="E349" s="31" t="s">
        <v>1042</v>
      </c>
      <c r="F349" s="31" t="s">
        <v>950</v>
      </c>
    </row>
    <row r="350" spans="2:6" ht="24" customHeight="1" x14ac:dyDescent="0.35">
      <c r="B350" s="31" t="s">
        <v>1028</v>
      </c>
      <c r="C350" s="31" t="s">
        <v>944</v>
      </c>
      <c r="D350" s="31" t="s">
        <v>31</v>
      </c>
      <c r="E350" s="31" t="s">
        <v>1354</v>
      </c>
      <c r="F350" s="31" t="s">
        <v>1355</v>
      </c>
    </row>
    <row r="351" spans="2:6" ht="24" customHeight="1" x14ac:dyDescent="0.35">
      <c r="B351" s="31" t="s">
        <v>1028</v>
      </c>
      <c r="C351" s="31" t="s">
        <v>952</v>
      </c>
      <c r="D351" s="31" t="s">
        <v>1</v>
      </c>
      <c r="E351" s="31" t="s">
        <v>1356</v>
      </c>
      <c r="F351" s="31" t="s">
        <v>952</v>
      </c>
    </row>
    <row r="352" spans="2:6" ht="16" customHeight="1" x14ac:dyDescent="0.35">
      <c r="B352" s="31" t="s">
        <v>1028</v>
      </c>
      <c r="C352" s="31" t="s">
        <v>952</v>
      </c>
      <c r="D352" s="31" t="s">
        <v>9</v>
      </c>
      <c r="E352" s="31" t="s">
        <v>1357</v>
      </c>
      <c r="F352" s="31" t="s">
        <v>954</v>
      </c>
    </row>
    <row r="353" spans="2:6" ht="16" customHeight="1" x14ac:dyDescent="0.35">
      <c r="B353" s="31" t="s">
        <v>1028</v>
      </c>
      <c r="C353" s="31" t="s">
        <v>952</v>
      </c>
      <c r="D353" s="31" t="s">
        <v>22</v>
      </c>
      <c r="E353" s="31" t="s">
        <v>115</v>
      </c>
      <c r="F353" s="31" t="s">
        <v>796</v>
      </c>
    </row>
    <row r="354" spans="2:6" ht="16" customHeight="1" x14ac:dyDescent="0.35">
      <c r="B354" s="31" t="s">
        <v>1028</v>
      </c>
      <c r="C354" s="31" t="s">
        <v>952</v>
      </c>
      <c r="D354" s="31" t="s">
        <v>29</v>
      </c>
      <c r="E354" s="31" t="s">
        <v>1042</v>
      </c>
      <c r="F354" s="31" t="s">
        <v>1284</v>
      </c>
    </row>
    <row r="355" spans="2:6" ht="16" customHeight="1" x14ac:dyDescent="0.35">
      <c r="B355" s="31" t="s">
        <v>1028</v>
      </c>
      <c r="C355" s="31" t="s">
        <v>952</v>
      </c>
      <c r="D355" s="31" t="s">
        <v>31</v>
      </c>
      <c r="E355" s="31" t="s">
        <v>1285</v>
      </c>
      <c r="F355" s="31" t="s">
        <v>1358</v>
      </c>
    </row>
    <row r="356" spans="2:6" ht="16" customHeight="1" x14ac:dyDescent="0.35">
      <c r="B356" s="31" t="s">
        <v>1028</v>
      </c>
      <c r="C356" s="31" t="s">
        <v>957</v>
      </c>
      <c r="D356" s="31" t="s">
        <v>9</v>
      </c>
      <c r="E356" s="31" t="s">
        <v>1359</v>
      </c>
      <c r="F356" s="31" t="s">
        <v>959</v>
      </c>
    </row>
    <row r="357" spans="2:6" ht="16" customHeight="1" x14ac:dyDescent="0.35">
      <c r="B357" s="31" t="s">
        <v>1028</v>
      </c>
      <c r="C357" s="31" t="s">
        <v>957</v>
      </c>
      <c r="D357" s="31" t="s">
        <v>22</v>
      </c>
      <c r="E357" s="31" t="s">
        <v>115</v>
      </c>
      <c r="F357" s="31" t="s">
        <v>962</v>
      </c>
    </row>
    <row r="358" spans="2:6" ht="16" customHeight="1" x14ac:dyDescent="0.35">
      <c r="B358" s="31" t="s">
        <v>1028</v>
      </c>
      <c r="C358" s="31" t="s">
        <v>957</v>
      </c>
      <c r="D358" s="31" t="s">
        <v>29</v>
      </c>
      <c r="E358" s="31" t="s">
        <v>1042</v>
      </c>
      <c r="F358" s="31" t="s">
        <v>1360</v>
      </c>
    </row>
    <row r="359" spans="2:6" ht="16" customHeight="1" x14ac:dyDescent="0.35">
      <c r="B359" s="31" t="s">
        <v>1028</v>
      </c>
      <c r="C359" s="31" t="s">
        <v>957</v>
      </c>
      <c r="D359" s="31" t="s">
        <v>31</v>
      </c>
      <c r="E359" s="31" t="s">
        <v>1361</v>
      </c>
      <c r="F359" s="31" t="s">
        <v>1362</v>
      </c>
    </row>
    <row r="360" spans="2:6" ht="16" customHeight="1" x14ac:dyDescent="0.35">
      <c r="B360" s="31" t="s">
        <v>1028</v>
      </c>
      <c r="C360" s="31" t="s">
        <v>966</v>
      </c>
      <c r="D360" s="31" t="s">
        <v>9</v>
      </c>
      <c r="E360" s="31" t="s">
        <v>1363</v>
      </c>
      <c r="F360" s="31" t="s">
        <v>968</v>
      </c>
    </row>
    <row r="361" spans="2:6" ht="16" customHeight="1" x14ac:dyDescent="0.35">
      <c r="B361" s="31" t="s">
        <v>1028</v>
      </c>
      <c r="C361" s="31" t="s">
        <v>966</v>
      </c>
      <c r="D361" s="31" t="s">
        <v>22</v>
      </c>
      <c r="E361" s="31" t="s">
        <v>115</v>
      </c>
      <c r="F361" s="31" t="s">
        <v>796</v>
      </c>
    </row>
    <row r="362" spans="2:6" ht="16" customHeight="1" x14ac:dyDescent="0.35">
      <c r="B362" s="31" t="s">
        <v>1028</v>
      </c>
      <c r="C362" s="31" t="s">
        <v>966</v>
      </c>
      <c r="D362" s="31" t="s">
        <v>29</v>
      </c>
      <c r="E362" s="31" t="s">
        <v>1042</v>
      </c>
      <c r="F362" s="31" t="s">
        <v>1284</v>
      </c>
    </row>
    <row r="363" spans="2:6" ht="16" customHeight="1" x14ac:dyDescent="0.35">
      <c r="B363" s="31" t="s">
        <v>1028</v>
      </c>
      <c r="C363" s="31" t="s">
        <v>966</v>
      </c>
      <c r="D363" s="31" t="s">
        <v>31</v>
      </c>
      <c r="E363" s="31" t="s">
        <v>1285</v>
      </c>
      <c r="F363" s="31" t="s">
        <v>1364</v>
      </c>
    </row>
    <row r="364" spans="2:6" ht="16" customHeight="1" x14ac:dyDescent="0.35">
      <c r="B364" s="31" t="s">
        <v>1028</v>
      </c>
      <c r="C364" s="31" t="s">
        <v>971</v>
      </c>
      <c r="D364" s="31" t="s">
        <v>9</v>
      </c>
      <c r="E364" s="31" t="s">
        <v>1365</v>
      </c>
      <c r="F364" s="31" t="s">
        <v>973</v>
      </c>
    </row>
    <row r="365" spans="2:6" ht="16" customHeight="1" x14ac:dyDescent="0.35">
      <c r="B365" s="31" t="s">
        <v>1028</v>
      </c>
      <c r="C365" s="31" t="s">
        <v>971</v>
      </c>
      <c r="D365" s="31" t="s">
        <v>22</v>
      </c>
      <c r="E365" s="31" t="s">
        <v>115</v>
      </c>
      <c r="F365" s="31" t="s">
        <v>975</v>
      </c>
    </row>
    <row r="366" spans="2:6" ht="16" customHeight="1" x14ac:dyDescent="0.35">
      <c r="B366" s="31" t="s">
        <v>1028</v>
      </c>
      <c r="C366" s="31" t="s">
        <v>971</v>
      </c>
      <c r="D366" s="31" t="s">
        <v>29</v>
      </c>
      <c r="E366" s="31" t="s">
        <v>1042</v>
      </c>
      <c r="F366" s="31" t="s">
        <v>1366</v>
      </c>
    </row>
    <row r="367" spans="2:6" ht="16" customHeight="1" x14ac:dyDescent="0.35">
      <c r="B367" s="31" t="s">
        <v>1028</v>
      </c>
      <c r="C367" s="31" t="s">
        <v>971</v>
      </c>
      <c r="D367" s="31" t="s">
        <v>31</v>
      </c>
      <c r="E367" s="31" t="s">
        <v>1367</v>
      </c>
      <c r="F367" s="31" t="s">
        <v>1368</v>
      </c>
    </row>
    <row r="368" spans="2:6" ht="16" customHeight="1" x14ac:dyDescent="0.35">
      <c r="B368" s="31" t="s">
        <v>1028</v>
      </c>
      <c r="C368" s="31" t="s">
        <v>93</v>
      </c>
      <c r="D368" s="31" t="s">
        <v>31</v>
      </c>
      <c r="E368" s="31" t="s">
        <v>1369</v>
      </c>
      <c r="F368" s="31" t="s">
        <v>1369</v>
      </c>
    </row>
    <row r="369" spans="2:6" ht="16" customHeight="1" x14ac:dyDescent="0.35">
      <c r="B369" s="31" t="s">
        <v>1028</v>
      </c>
      <c r="C369" s="31" t="s">
        <v>33</v>
      </c>
      <c r="D369" s="31" t="s">
        <v>26</v>
      </c>
      <c r="E369" s="31" t="s">
        <v>1042</v>
      </c>
      <c r="F369" s="31" t="s">
        <v>40</v>
      </c>
    </row>
    <row r="370" spans="2:6" ht="16" customHeight="1" x14ac:dyDescent="0.35">
      <c r="B370" s="31" t="s">
        <v>1028</v>
      </c>
      <c r="C370" s="31" t="s">
        <v>135</v>
      </c>
      <c r="D370" s="31" t="s">
        <v>26</v>
      </c>
      <c r="E370" s="31" t="s">
        <v>1042</v>
      </c>
      <c r="F370" s="31" t="s">
        <v>40</v>
      </c>
    </row>
    <row r="371" spans="2:6" ht="16" customHeight="1" x14ac:dyDescent="0.35">
      <c r="B371" s="31" t="s">
        <v>1028</v>
      </c>
      <c r="C371" s="31" t="s">
        <v>144</v>
      </c>
      <c r="D371" s="31" t="s">
        <v>26</v>
      </c>
      <c r="E371" s="31" t="s">
        <v>1042</v>
      </c>
      <c r="F371" s="31" t="s">
        <v>40</v>
      </c>
    </row>
    <row r="372" spans="2:6" ht="16" customHeight="1" x14ac:dyDescent="0.35">
      <c r="B372" s="31" t="s">
        <v>1028</v>
      </c>
      <c r="C372" s="31" t="s">
        <v>171</v>
      </c>
      <c r="D372" s="31" t="s">
        <v>29</v>
      </c>
      <c r="E372" s="31" t="s">
        <v>1042</v>
      </c>
      <c r="F372" s="31" t="s">
        <v>40</v>
      </c>
    </row>
    <row r="373" spans="2:6" ht="16" customHeight="1" x14ac:dyDescent="0.35">
      <c r="B373" s="31" t="s">
        <v>1028</v>
      </c>
      <c r="C373" s="31" t="s">
        <v>171</v>
      </c>
      <c r="D373" s="31" t="s">
        <v>26</v>
      </c>
      <c r="E373" s="31" t="s">
        <v>1042</v>
      </c>
      <c r="F373" s="31" t="s">
        <v>40</v>
      </c>
    </row>
    <row r="374" spans="2:6" ht="16" customHeight="1" x14ac:dyDescent="0.35">
      <c r="B374" s="31" t="s">
        <v>1028</v>
      </c>
      <c r="C374" s="31" t="s">
        <v>216</v>
      </c>
      <c r="D374" s="31" t="s">
        <v>29</v>
      </c>
      <c r="E374" s="31" t="s">
        <v>1042</v>
      </c>
      <c r="F374" s="31" t="s">
        <v>40</v>
      </c>
    </row>
    <row r="375" spans="2:6" ht="16" customHeight="1" x14ac:dyDescent="0.35">
      <c r="B375" s="31" t="s">
        <v>1028</v>
      </c>
      <c r="C375" s="31" t="s">
        <v>216</v>
      </c>
      <c r="D375" s="31" t="s">
        <v>26</v>
      </c>
      <c r="E375" s="31" t="s">
        <v>1042</v>
      </c>
      <c r="F375" s="31" t="s">
        <v>40</v>
      </c>
    </row>
    <row r="376" spans="2:6" ht="16" customHeight="1" x14ac:dyDescent="0.35">
      <c r="B376" s="31" t="s">
        <v>1028</v>
      </c>
      <c r="C376" s="31" t="s">
        <v>226</v>
      </c>
      <c r="D376" s="31" t="s">
        <v>29</v>
      </c>
      <c r="E376" s="31" t="s">
        <v>1042</v>
      </c>
      <c r="F376" s="31" t="s">
        <v>40</v>
      </c>
    </row>
    <row r="377" spans="2:6" ht="16" customHeight="1" x14ac:dyDescent="0.35">
      <c r="B377" s="31" t="s">
        <v>1028</v>
      </c>
      <c r="C377" s="31" t="s">
        <v>277</v>
      </c>
      <c r="D377" s="31" t="s">
        <v>26</v>
      </c>
      <c r="E377" s="31" t="s">
        <v>1042</v>
      </c>
      <c r="F377" s="31" t="s">
        <v>40</v>
      </c>
    </row>
    <row r="378" spans="2:6" ht="16" customHeight="1" x14ac:dyDescent="0.35">
      <c r="B378" s="31" t="s">
        <v>1028</v>
      </c>
      <c r="C378" s="31" t="s">
        <v>327</v>
      </c>
      <c r="D378" s="31" t="s">
        <v>29</v>
      </c>
      <c r="E378" s="31" t="s">
        <v>1042</v>
      </c>
      <c r="F378" s="31" t="s">
        <v>40</v>
      </c>
    </row>
    <row r="379" spans="2:6" ht="16" customHeight="1" x14ac:dyDescent="0.35">
      <c r="B379" s="31" t="s">
        <v>1028</v>
      </c>
      <c r="C379" s="31" t="s">
        <v>351</v>
      </c>
      <c r="D379" s="31" t="s">
        <v>29</v>
      </c>
      <c r="E379" s="31" t="s">
        <v>1042</v>
      </c>
      <c r="F379" s="31" t="s">
        <v>40</v>
      </c>
    </row>
    <row r="380" spans="2:6" ht="16" customHeight="1" x14ac:dyDescent="0.35">
      <c r="B380" s="31" t="s">
        <v>1028</v>
      </c>
      <c r="C380" s="31" t="s">
        <v>361</v>
      </c>
      <c r="D380" s="31" t="s">
        <v>26</v>
      </c>
      <c r="E380" s="31" t="s">
        <v>1042</v>
      </c>
      <c r="F380" s="31" t="s">
        <v>40</v>
      </c>
    </row>
    <row r="381" spans="2:6" ht="16" customHeight="1" x14ac:dyDescent="0.35">
      <c r="B381" s="31" t="s">
        <v>1028</v>
      </c>
      <c r="C381" s="31" t="s">
        <v>370</v>
      </c>
      <c r="D381" s="31" t="s">
        <v>29</v>
      </c>
      <c r="E381" s="31" t="s">
        <v>1042</v>
      </c>
      <c r="F381" s="31" t="s">
        <v>40</v>
      </c>
    </row>
    <row r="382" spans="2:6" ht="16" customHeight="1" x14ac:dyDescent="0.35">
      <c r="B382" s="31" t="s">
        <v>1028</v>
      </c>
      <c r="C382" s="31" t="s">
        <v>370</v>
      </c>
      <c r="D382" s="31" t="s">
        <v>26</v>
      </c>
      <c r="E382" s="31" t="s">
        <v>1042</v>
      </c>
      <c r="F382" s="31" t="s">
        <v>40</v>
      </c>
    </row>
    <row r="383" spans="2:6" ht="16" customHeight="1" x14ac:dyDescent="0.35">
      <c r="B383" s="31" t="s">
        <v>1028</v>
      </c>
      <c r="C383" s="31" t="s">
        <v>379</v>
      </c>
      <c r="D383" s="31" t="s">
        <v>29</v>
      </c>
      <c r="E383" s="31" t="s">
        <v>1042</v>
      </c>
      <c r="F383" s="31" t="s">
        <v>40</v>
      </c>
    </row>
    <row r="384" spans="2:6" ht="16" customHeight="1" x14ac:dyDescent="0.35">
      <c r="B384" s="31" t="s">
        <v>1028</v>
      </c>
      <c r="C384" s="31" t="s">
        <v>379</v>
      </c>
      <c r="D384" s="31" t="s">
        <v>26</v>
      </c>
      <c r="E384" s="31" t="s">
        <v>1042</v>
      </c>
      <c r="F384" s="31" t="s">
        <v>40</v>
      </c>
    </row>
    <row r="385" spans="2:6" ht="16" customHeight="1" x14ac:dyDescent="0.35">
      <c r="B385" s="31" t="s">
        <v>1028</v>
      </c>
      <c r="C385" s="31" t="s">
        <v>387</v>
      </c>
      <c r="D385" s="31" t="s">
        <v>26</v>
      </c>
      <c r="E385" s="31" t="s">
        <v>1042</v>
      </c>
      <c r="F385" s="31" t="s">
        <v>40</v>
      </c>
    </row>
    <row r="386" spans="2:6" ht="16" customHeight="1" x14ac:dyDescent="0.35">
      <c r="B386" s="31" t="s">
        <v>1028</v>
      </c>
      <c r="C386" s="31" t="s">
        <v>398</v>
      </c>
      <c r="D386" s="31" t="s">
        <v>29</v>
      </c>
      <c r="E386" s="31" t="s">
        <v>1042</v>
      </c>
      <c r="F386" s="31" t="s">
        <v>40</v>
      </c>
    </row>
    <row r="387" spans="2:6" ht="16" customHeight="1" x14ac:dyDescent="0.35">
      <c r="B387" s="31" t="s">
        <v>1028</v>
      </c>
      <c r="C387" s="31" t="s">
        <v>398</v>
      </c>
      <c r="D387" s="31" t="s">
        <v>26</v>
      </c>
      <c r="E387" s="31" t="s">
        <v>1042</v>
      </c>
      <c r="F387" s="31" t="s">
        <v>40</v>
      </c>
    </row>
    <row r="388" spans="2:6" ht="16" customHeight="1" x14ac:dyDescent="0.35">
      <c r="B388" s="31" t="s">
        <v>1028</v>
      </c>
      <c r="C388" s="31" t="s">
        <v>405</v>
      </c>
      <c r="D388" s="31" t="s">
        <v>26</v>
      </c>
      <c r="E388" s="31" t="s">
        <v>1042</v>
      </c>
      <c r="F388" s="31" t="s">
        <v>40</v>
      </c>
    </row>
    <row r="389" spans="2:6" ht="16" customHeight="1" x14ac:dyDescent="0.35">
      <c r="B389" s="31" t="s">
        <v>1028</v>
      </c>
      <c r="C389" s="31" t="s">
        <v>416</v>
      </c>
      <c r="D389" s="31" t="s">
        <v>29</v>
      </c>
      <c r="E389" s="31" t="s">
        <v>1042</v>
      </c>
      <c r="F389" s="31" t="s">
        <v>40</v>
      </c>
    </row>
    <row r="390" spans="2:6" ht="24" customHeight="1" x14ac:dyDescent="0.35">
      <c r="B390" s="31" t="s">
        <v>1028</v>
      </c>
      <c r="C390" s="31" t="s">
        <v>416</v>
      </c>
      <c r="D390" s="31" t="s">
        <v>26</v>
      </c>
      <c r="E390" s="31" t="s">
        <v>1042</v>
      </c>
      <c r="F390" s="31" t="s">
        <v>40</v>
      </c>
    </row>
    <row r="391" spans="2:6" ht="16" customHeight="1" x14ac:dyDescent="0.35">
      <c r="B391" s="31" t="s">
        <v>1028</v>
      </c>
      <c r="C391" s="31" t="s">
        <v>436</v>
      </c>
      <c r="D391" s="31" t="s">
        <v>26</v>
      </c>
      <c r="E391" s="31" t="s">
        <v>1042</v>
      </c>
      <c r="F391" s="31" t="s">
        <v>40</v>
      </c>
    </row>
    <row r="392" spans="2:6" ht="16" customHeight="1" x14ac:dyDescent="0.35">
      <c r="B392" s="31" t="s">
        <v>1028</v>
      </c>
      <c r="C392" s="31" t="s">
        <v>443</v>
      </c>
      <c r="D392" s="31" t="s">
        <v>29</v>
      </c>
      <c r="E392" s="31" t="s">
        <v>1042</v>
      </c>
      <c r="F392" s="31" t="s">
        <v>40</v>
      </c>
    </row>
    <row r="393" spans="2:6" ht="16" customHeight="1" x14ac:dyDescent="0.35">
      <c r="B393" s="31" t="s">
        <v>1028</v>
      </c>
      <c r="C393" s="31" t="s">
        <v>443</v>
      </c>
      <c r="D393" s="31" t="s">
        <v>26</v>
      </c>
      <c r="E393" s="31" t="s">
        <v>1042</v>
      </c>
      <c r="F393" s="31" t="s">
        <v>40</v>
      </c>
    </row>
    <row r="394" spans="2:6" ht="16" customHeight="1" x14ac:dyDescent="0.35">
      <c r="B394" s="31" t="s">
        <v>1028</v>
      </c>
      <c r="C394" s="31" t="s">
        <v>450</v>
      </c>
      <c r="D394" s="31" t="s">
        <v>26</v>
      </c>
      <c r="E394" s="31" t="s">
        <v>1042</v>
      </c>
      <c r="F394" s="31" t="s">
        <v>40</v>
      </c>
    </row>
    <row r="395" spans="2:6" ht="16" customHeight="1" x14ac:dyDescent="0.35">
      <c r="B395" s="31" t="s">
        <v>1028</v>
      </c>
      <c r="C395" s="31" t="s">
        <v>478</v>
      </c>
      <c r="D395" s="31" t="s">
        <v>29</v>
      </c>
      <c r="E395" s="31" t="s">
        <v>1042</v>
      </c>
      <c r="F395" s="31" t="s">
        <v>40</v>
      </c>
    </row>
    <row r="396" spans="2:6" ht="16" customHeight="1" x14ac:dyDescent="0.35">
      <c r="B396" s="31" t="s">
        <v>1028</v>
      </c>
      <c r="C396" s="31" t="s">
        <v>478</v>
      </c>
      <c r="D396" s="31" t="s">
        <v>26</v>
      </c>
      <c r="E396" s="31" t="s">
        <v>1042</v>
      </c>
      <c r="F396" s="31" t="s">
        <v>40</v>
      </c>
    </row>
    <row r="397" spans="2:6" ht="16" customHeight="1" x14ac:dyDescent="0.35">
      <c r="B397" s="31" t="s">
        <v>1028</v>
      </c>
      <c r="C397" s="31" t="s">
        <v>495</v>
      </c>
      <c r="D397" s="31" t="s">
        <v>26</v>
      </c>
      <c r="E397" s="31" t="s">
        <v>1042</v>
      </c>
      <c r="F397" s="31" t="s">
        <v>40</v>
      </c>
    </row>
    <row r="398" spans="2:6" ht="16" customHeight="1" x14ac:dyDescent="0.35">
      <c r="B398" s="31" t="s">
        <v>1028</v>
      </c>
      <c r="C398" s="31" t="s">
        <v>504</v>
      </c>
      <c r="D398" s="31" t="s">
        <v>26</v>
      </c>
      <c r="E398" s="31" t="s">
        <v>1042</v>
      </c>
      <c r="F398" s="31" t="s">
        <v>40</v>
      </c>
    </row>
    <row r="399" spans="2:6" ht="16" customHeight="1" x14ac:dyDescent="0.35">
      <c r="B399" s="31" t="s">
        <v>1028</v>
      </c>
      <c r="C399" s="31" t="s">
        <v>510</v>
      </c>
      <c r="D399" s="31" t="s">
        <v>29</v>
      </c>
      <c r="E399" s="31" t="s">
        <v>1042</v>
      </c>
      <c r="F399" s="31" t="s">
        <v>40</v>
      </c>
    </row>
    <row r="400" spans="2:6" ht="16" customHeight="1" x14ac:dyDescent="0.35">
      <c r="B400" s="31" t="s">
        <v>1028</v>
      </c>
      <c r="C400" s="31" t="s">
        <v>510</v>
      </c>
      <c r="D400" s="31" t="s">
        <v>26</v>
      </c>
      <c r="E400" s="31" t="s">
        <v>1042</v>
      </c>
      <c r="F400" s="31" t="s">
        <v>40</v>
      </c>
    </row>
    <row r="401" spans="2:6" ht="16" customHeight="1" x14ac:dyDescent="0.35">
      <c r="B401" s="31" t="s">
        <v>1028</v>
      </c>
      <c r="C401" s="31" t="s">
        <v>517</v>
      </c>
      <c r="D401" s="31" t="s">
        <v>29</v>
      </c>
      <c r="E401" s="31" t="s">
        <v>1042</v>
      </c>
      <c r="F401" s="31" t="s">
        <v>40</v>
      </c>
    </row>
    <row r="402" spans="2:6" ht="16" customHeight="1" x14ac:dyDescent="0.35">
      <c r="B402" s="31" t="s">
        <v>1028</v>
      </c>
      <c r="C402" s="31" t="s">
        <v>517</v>
      </c>
      <c r="D402" s="31" t="s">
        <v>26</v>
      </c>
      <c r="E402" s="31" t="s">
        <v>1042</v>
      </c>
      <c r="F402" s="31" t="s">
        <v>40</v>
      </c>
    </row>
    <row r="403" spans="2:6" ht="16" customHeight="1" x14ac:dyDescent="0.35">
      <c r="B403" s="31" t="s">
        <v>1028</v>
      </c>
      <c r="C403" s="31" t="s">
        <v>523</v>
      </c>
      <c r="D403" s="31" t="s">
        <v>29</v>
      </c>
      <c r="E403" s="31" t="s">
        <v>1042</v>
      </c>
      <c r="F403" s="31" t="s">
        <v>40</v>
      </c>
    </row>
    <row r="404" spans="2:6" ht="16" customHeight="1" x14ac:dyDescent="0.35">
      <c r="B404" s="31" t="s">
        <v>1028</v>
      </c>
      <c r="C404" s="31" t="s">
        <v>523</v>
      </c>
      <c r="D404" s="31" t="s">
        <v>26</v>
      </c>
      <c r="E404" s="31" t="s">
        <v>1042</v>
      </c>
      <c r="F404" s="31" t="s">
        <v>40</v>
      </c>
    </row>
    <row r="405" spans="2:6" ht="16" customHeight="1" x14ac:dyDescent="0.35">
      <c r="B405" s="31" t="s">
        <v>1028</v>
      </c>
      <c r="C405" s="31" t="s">
        <v>529</v>
      </c>
      <c r="D405" s="31" t="s">
        <v>29</v>
      </c>
      <c r="E405" s="31" t="s">
        <v>1042</v>
      </c>
      <c r="F405" s="31" t="s">
        <v>40</v>
      </c>
    </row>
    <row r="406" spans="2:6" ht="16" customHeight="1" x14ac:dyDescent="0.35">
      <c r="B406" s="31" t="s">
        <v>1028</v>
      </c>
      <c r="C406" s="31" t="s">
        <v>545</v>
      </c>
      <c r="D406" s="31" t="s">
        <v>26</v>
      </c>
      <c r="E406" s="31" t="s">
        <v>1042</v>
      </c>
      <c r="F406" s="31" t="s">
        <v>40</v>
      </c>
    </row>
    <row r="407" spans="2:6" ht="16" customHeight="1" x14ac:dyDescent="0.35">
      <c r="B407" s="31" t="s">
        <v>1028</v>
      </c>
      <c r="C407" s="31" t="s">
        <v>582</v>
      </c>
      <c r="D407" s="31" t="s">
        <v>29</v>
      </c>
      <c r="E407" s="31" t="s">
        <v>1042</v>
      </c>
      <c r="F407" s="31" t="s">
        <v>40</v>
      </c>
    </row>
    <row r="408" spans="2:6" ht="16" customHeight="1" x14ac:dyDescent="0.35">
      <c r="B408" s="31" t="s">
        <v>1028</v>
      </c>
      <c r="C408" s="31" t="s">
        <v>606</v>
      </c>
      <c r="D408" s="31" t="s">
        <v>29</v>
      </c>
      <c r="E408" s="31" t="s">
        <v>1042</v>
      </c>
      <c r="F408" s="31" t="s">
        <v>40</v>
      </c>
    </row>
    <row r="409" spans="2:6" ht="16" customHeight="1" x14ac:dyDescent="0.35">
      <c r="B409" s="31" t="s">
        <v>1028</v>
      </c>
      <c r="C409" s="31" t="s">
        <v>606</v>
      </c>
      <c r="D409" s="31" t="s">
        <v>26</v>
      </c>
      <c r="E409" s="31" t="s">
        <v>1042</v>
      </c>
      <c r="F409" s="31" t="s">
        <v>40</v>
      </c>
    </row>
    <row r="410" spans="2:6" x14ac:dyDescent="0.35">
      <c r="B410" s="31" t="s">
        <v>1028</v>
      </c>
      <c r="C410" s="31" t="s">
        <v>616</v>
      </c>
      <c r="D410" s="31" t="s">
        <v>29</v>
      </c>
      <c r="E410" s="31" t="s">
        <v>1042</v>
      </c>
      <c r="F410" s="31" t="s">
        <v>40</v>
      </c>
    </row>
    <row r="411" spans="2:6" x14ac:dyDescent="0.35">
      <c r="B411" s="31" t="s">
        <v>1028</v>
      </c>
      <c r="C411" s="31" t="s">
        <v>616</v>
      </c>
      <c r="D411" s="31" t="s">
        <v>26</v>
      </c>
      <c r="E411" s="31" t="s">
        <v>1042</v>
      </c>
      <c r="F411" s="31" t="s">
        <v>40</v>
      </c>
    </row>
    <row r="412" spans="2:6" x14ac:dyDescent="0.35">
      <c r="B412" s="31" t="s">
        <v>1028</v>
      </c>
      <c r="C412" s="31" t="s">
        <v>624</v>
      </c>
      <c r="D412" s="31" t="s">
        <v>29</v>
      </c>
      <c r="E412" s="31" t="s">
        <v>1042</v>
      </c>
      <c r="F412" s="31" t="s">
        <v>40</v>
      </c>
    </row>
    <row r="413" spans="2:6" x14ac:dyDescent="0.35">
      <c r="B413" s="31" t="s">
        <v>1028</v>
      </c>
      <c r="C413" s="31" t="s">
        <v>654</v>
      </c>
      <c r="D413" s="31" t="s">
        <v>29</v>
      </c>
      <c r="E413" s="31" t="s">
        <v>1042</v>
      </c>
      <c r="F413" s="31" t="s">
        <v>40</v>
      </c>
    </row>
    <row r="414" spans="2:6" x14ac:dyDescent="0.35">
      <c r="B414" s="31" t="s">
        <v>1028</v>
      </c>
      <c r="C414" s="31" t="s">
        <v>675</v>
      </c>
      <c r="D414" s="31" t="s">
        <v>26</v>
      </c>
      <c r="E414" s="31" t="s">
        <v>1042</v>
      </c>
      <c r="F414" s="31" t="s">
        <v>40</v>
      </c>
    </row>
    <row r="415" spans="2:6" x14ac:dyDescent="0.35">
      <c r="B415" s="31" t="s">
        <v>1028</v>
      </c>
      <c r="C415" s="31" t="s">
        <v>690</v>
      </c>
      <c r="D415" s="31" t="s">
        <v>26</v>
      </c>
      <c r="E415" s="31" t="s">
        <v>1042</v>
      </c>
      <c r="F415" s="31" t="s">
        <v>40</v>
      </c>
    </row>
    <row r="416" spans="2:6" x14ac:dyDescent="0.35">
      <c r="B416" s="31" t="s">
        <v>1028</v>
      </c>
      <c r="C416" s="31" t="s">
        <v>699</v>
      </c>
      <c r="D416" s="31" t="s">
        <v>29</v>
      </c>
      <c r="E416" s="31" t="s">
        <v>1042</v>
      </c>
      <c r="F416" s="31" t="s">
        <v>40</v>
      </c>
    </row>
    <row r="417" spans="2:6" x14ac:dyDescent="0.35">
      <c r="B417" s="31" t="s">
        <v>1028</v>
      </c>
      <c r="C417" s="31" t="s">
        <v>727</v>
      </c>
      <c r="D417" s="31" t="s">
        <v>26</v>
      </c>
      <c r="E417" s="31" t="s">
        <v>1042</v>
      </c>
      <c r="F417" s="31" t="s">
        <v>40</v>
      </c>
    </row>
    <row r="418" spans="2:6" x14ac:dyDescent="0.35">
      <c r="B418" s="31" t="s">
        <v>1028</v>
      </c>
      <c r="C418" s="31" t="s">
        <v>735</v>
      </c>
      <c r="D418" s="31" t="s">
        <v>29</v>
      </c>
      <c r="E418" s="31" t="s">
        <v>1042</v>
      </c>
      <c r="F418" s="31" t="s">
        <v>40</v>
      </c>
    </row>
    <row r="419" spans="2:6" x14ac:dyDescent="0.35">
      <c r="B419" s="31" t="s">
        <v>1028</v>
      </c>
      <c r="C419" s="31" t="s">
        <v>792</v>
      </c>
      <c r="D419" s="31" t="s">
        <v>26</v>
      </c>
      <c r="E419" s="31" t="s">
        <v>1042</v>
      </c>
      <c r="F419" s="31" t="s">
        <v>1370</v>
      </c>
    </row>
    <row r="420" spans="2:6" x14ac:dyDescent="0.35">
      <c r="B420" s="31" t="s">
        <v>1028</v>
      </c>
      <c r="C420" s="31" t="s">
        <v>802</v>
      </c>
      <c r="D420" s="31" t="s">
        <v>26</v>
      </c>
      <c r="E420" s="31" t="s">
        <v>1042</v>
      </c>
      <c r="F420" s="31" t="s">
        <v>1370</v>
      </c>
    </row>
    <row r="421" spans="2:6" x14ac:dyDescent="0.35">
      <c r="B421" s="31" t="s">
        <v>1028</v>
      </c>
      <c r="C421" s="31" t="s">
        <v>809</v>
      </c>
      <c r="D421" s="31" t="s">
        <v>26</v>
      </c>
      <c r="E421" s="31" t="s">
        <v>1042</v>
      </c>
      <c r="F421" s="31" t="s">
        <v>40</v>
      </c>
    </row>
    <row r="422" spans="2:6" x14ac:dyDescent="0.35">
      <c r="B422" s="31" t="s">
        <v>1028</v>
      </c>
      <c r="C422" s="31" t="s">
        <v>817</v>
      </c>
      <c r="D422" s="31" t="s">
        <v>26</v>
      </c>
      <c r="E422" s="31" t="s">
        <v>1042</v>
      </c>
      <c r="F422" s="31" t="s">
        <v>1370</v>
      </c>
    </row>
    <row r="423" spans="2:6" x14ac:dyDescent="0.35">
      <c r="B423" s="31" t="s">
        <v>1028</v>
      </c>
      <c r="C423" s="31" t="s">
        <v>822</v>
      </c>
      <c r="D423" s="31" t="s">
        <v>26</v>
      </c>
      <c r="E423" s="31" t="s">
        <v>1042</v>
      </c>
      <c r="F423" s="31" t="s">
        <v>1370</v>
      </c>
    </row>
    <row r="424" spans="2:6" x14ac:dyDescent="0.35">
      <c r="B424" s="31" t="s">
        <v>1028</v>
      </c>
      <c r="C424" s="31" t="s">
        <v>831</v>
      </c>
      <c r="D424" s="31" t="s">
        <v>26</v>
      </c>
      <c r="E424" s="31" t="s">
        <v>1042</v>
      </c>
      <c r="F424" s="31" t="s">
        <v>40</v>
      </c>
    </row>
    <row r="425" spans="2:6" x14ac:dyDescent="0.35">
      <c r="B425" s="31" t="s">
        <v>1028</v>
      </c>
      <c r="C425" s="31" t="s">
        <v>843</v>
      </c>
      <c r="D425" s="31" t="s">
        <v>26</v>
      </c>
      <c r="E425" s="31" t="s">
        <v>1042</v>
      </c>
      <c r="F425" s="31" t="s">
        <v>1370</v>
      </c>
    </row>
    <row r="426" spans="2:6" x14ac:dyDescent="0.35">
      <c r="B426" s="31" t="s">
        <v>1028</v>
      </c>
      <c r="C426" s="31" t="s">
        <v>851</v>
      </c>
      <c r="D426" s="31" t="s">
        <v>26</v>
      </c>
      <c r="E426" s="31" t="s">
        <v>1042</v>
      </c>
      <c r="F426" s="31" t="s">
        <v>1370</v>
      </c>
    </row>
    <row r="427" spans="2:6" x14ac:dyDescent="0.35">
      <c r="B427" s="31" t="s">
        <v>1028</v>
      </c>
      <c r="C427" s="31" t="s">
        <v>860</v>
      </c>
      <c r="D427" s="31" t="s">
        <v>26</v>
      </c>
      <c r="E427" s="31" t="s">
        <v>1042</v>
      </c>
      <c r="F427" s="31" t="s">
        <v>1370</v>
      </c>
    </row>
    <row r="428" spans="2:6" x14ac:dyDescent="0.35">
      <c r="B428" s="31" t="s">
        <v>1028</v>
      </c>
      <c r="C428" s="31" t="s">
        <v>866</v>
      </c>
      <c r="D428" s="31" t="s">
        <v>26</v>
      </c>
      <c r="E428" s="31" t="s">
        <v>1042</v>
      </c>
      <c r="F428" s="31" t="s">
        <v>40</v>
      </c>
    </row>
    <row r="429" spans="2:6" x14ac:dyDescent="0.35">
      <c r="B429" s="31" t="s">
        <v>1028</v>
      </c>
      <c r="C429" s="31" t="s">
        <v>876</v>
      </c>
      <c r="D429" s="31" t="s">
        <v>26</v>
      </c>
      <c r="E429" s="31" t="s">
        <v>1042</v>
      </c>
      <c r="F429" s="31" t="s">
        <v>1370</v>
      </c>
    </row>
    <row r="430" spans="2:6" x14ac:dyDescent="0.35">
      <c r="B430" s="31" t="s">
        <v>1028</v>
      </c>
      <c r="C430" s="31" t="s">
        <v>882</v>
      </c>
      <c r="D430" s="31" t="s">
        <v>26</v>
      </c>
      <c r="E430" s="31" t="s">
        <v>1042</v>
      </c>
      <c r="F430" s="31" t="s">
        <v>1370</v>
      </c>
    </row>
    <row r="431" spans="2:6" x14ac:dyDescent="0.35">
      <c r="B431" s="31" t="s">
        <v>1028</v>
      </c>
      <c r="C431" s="31" t="s">
        <v>890</v>
      </c>
      <c r="D431" s="31" t="s">
        <v>26</v>
      </c>
      <c r="E431" s="31" t="s">
        <v>1042</v>
      </c>
      <c r="F431" s="31" t="s">
        <v>1370</v>
      </c>
    </row>
    <row r="432" spans="2:6" x14ac:dyDescent="0.35">
      <c r="B432" s="31" t="s">
        <v>1028</v>
      </c>
      <c r="C432" s="31" t="s">
        <v>894</v>
      </c>
      <c r="D432" s="31" t="s">
        <v>26</v>
      </c>
      <c r="E432" s="31" t="s">
        <v>1042</v>
      </c>
      <c r="F432" s="31" t="s">
        <v>1370</v>
      </c>
    </row>
    <row r="433" spans="2:6" x14ac:dyDescent="0.35">
      <c r="B433" s="31" t="s">
        <v>1028</v>
      </c>
      <c r="C433" s="31" t="s">
        <v>899</v>
      </c>
      <c r="D433" s="31" t="s">
        <v>26</v>
      </c>
      <c r="E433" s="31" t="s">
        <v>1042</v>
      </c>
      <c r="F433" s="31" t="s">
        <v>1370</v>
      </c>
    </row>
    <row r="434" spans="2:6" x14ac:dyDescent="0.35">
      <c r="B434" s="31" t="s">
        <v>1028</v>
      </c>
      <c r="C434" s="31" t="s">
        <v>906</v>
      </c>
      <c r="D434" s="31" t="s">
        <v>26</v>
      </c>
      <c r="E434" s="31" t="s">
        <v>1042</v>
      </c>
      <c r="F434" s="31" t="s">
        <v>40</v>
      </c>
    </row>
    <row r="435" spans="2:6" x14ac:dyDescent="0.35">
      <c r="B435" s="31" t="s">
        <v>1028</v>
      </c>
      <c r="C435" s="31" t="s">
        <v>916</v>
      </c>
      <c r="D435" s="31" t="s">
        <v>26</v>
      </c>
      <c r="E435" s="31" t="s">
        <v>1042</v>
      </c>
      <c r="F435" s="31" t="s">
        <v>1370</v>
      </c>
    </row>
    <row r="436" spans="2:6" x14ac:dyDescent="0.35">
      <c r="B436" s="31" t="s">
        <v>1028</v>
      </c>
      <c r="C436" s="31" t="s">
        <v>924</v>
      </c>
      <c r="D436" s="31" t="s">
        <v>26</v>
      </c>
      <c r="E436" s="31" t="s">
        <v>1042</v>
      </c>
      <c r="F436" s="31" t="s">
        <v>1370</v>
      </c>
    </row>
    <row r="437" spans="2:6" x14ac:dyDescent="0.35">
      <c r="B437" s="31" t="s">
        <v>1028</v>
      </c>
      <c r="C437" s="31" t="s">
        <v>931</v>
      </c>
      <c r="D437" s="31" t="s">
        <v>26</v>
      </c>
      <c r="E437" s="31" t="s">
        <v>1042</v>
      </c>
      <c r="F437" s="31" t="s">
        <v>1370</v>
      </c>
    </row>
    <row r="438" spans="2:6" x14ac:dyDescent="0.35">
      <c r="B438" s="31" t="s">
        <v>1028</v>
      </c>
      <c r="C438" s="31" t="s">
        <v>938</v>
      </c>
      <c r="D438" s="31" t="s">
        <v>26</v>
      </c>
      <c r="E438" s="31" t="s">
        <v>1042</v>
      </c>
      <c r="F438" s="31" t="s">
        <v>1370</v>
      </c>
    </row>
    <row r="439" spans="2:6" x14ac:dyDescent="0.35">
      <c r="B439" s="31" t="s">
        <v>1028</v>
      </c>
      <c r="C439" s="31" t="s">
        <v>944</v>
      </c>
      <c r="D439" s="31" t="s">
        <v>26</v>
      </c>
      <c r="E439" s="31" t="s">
        <v>1042</v>
      </c>
      <c r="F439" s="31" t="s">
        <v>1370</v>
      </c>
    </row>
    <row r="440" spans="2:6" x14ac:dyDescent="0.35">
      <c r="B440" s="31" t="s">
        <v>1028</v>
      </c>
      <c r="C440" s="31" t="s">
        <v>952</v>
      </c>
      <c r="D440" s="31" t="s">
        <v>26</v>
      </c>
      <c r="E440" s="31" t="s">
        <v>1042</v>
      </c>
      <c r="F440" s="31" t="s">
        <v>1370</v>
      </c>
    </row>
    <row r="441" spans="2:6" x14ac:dyDescent="0.35">
      <c r="B441" s="31" t="s">
        <v>1028</v>
      </c>
      <c r="C441" s="31" t="s">
        <v>957</v>
      </c>
      <c r="D441" s="31" t="s">
        <v>26</v>
      </c>
      <c r="E441" s="31" t="s">
        <v>1042</v>
      </c>
      <c r="F441" s="31" t="s">
        <v>1370</v>
      </c>
    </row>
    <row r="442" spans="2:6" x14ac:dyDescent="0.35">
      <c r="B442" s="31" t="s">
        <v>1028</v>
      </c>
      <c r="C442" s="31" t="s">
        <v>966</v>
      </c>
      <c r="D442" s="31" t="s">
        <v>26</v>
      </c>
      <c r="E442" s="31" t="s">
        <v>1042</v>
      </c>
      <c r="F442" s="31" t="s">
        <v>1370</v>
      </c>
    </row>
    <row r="443" spans="2:6" x14ac:dyDescent="0.35">
      <c r="B443" s="31" t="s">
        <v>1028</v>
      </c>
      <c r="C443" s="31" t="s">
        <v>971</v>
      </c>
      <c r="D443" s="31" t="s">
        <v>26</v>
      </c>
      <c r="E443" s="31" t="s">
        <v>1042</v>
      </c>
      <c r="F443" s="31" t="s">
        <v>1370</v>
      </c>
    </row>
    <row r="444" spans="2:6" x14ac:dyDescent="0.35">
      <c r="B444" s="31" t="s">
        <v>1371</v>
      </c>
      <c r="C444" s="31" t="s">
        <v>248</v>
      </c>
      <c r="D444" s="31" t="s">
        <v>1372</v>
      </c>
      <c r="E444" s="31" t="s">
        <v>1373</v>
      </c>
      <c r="F444" s="31" t="s">
        <v>1374</v>
      </c>
    </row>
    <row r="445" spans="2:6" x14ac:dyDescent="0.35">
      <c r="B445" s="31" t="s">
        <v>1371</v>
      </c>
      <c r="C445" s="31" t="s">
        <v>189</v>
      </c>
      <c r="D445" s="31" t="s">
        <v>1372</v>
      </c>
      <c r="E445" s="31" t="s">
        <v>1373</v>
      </c>
      <c r="F445" s="31" t="s">
        <v>1375</v>
      </c>
    </row>
    <row r="446" spans="2:6" x14ac:dyDescent="0.35">
      <c r="B446" s="31" t="s">
        <v>1371</v>
      </c>
      <c r="C446" s="31" t="s">
        <v>792</v>
      </c>
      <c r="D446" s="31" t="s">
        <v>1372</v>
      </c>
      <c r="E446" s="31" t="s">
        <v>1373</v>
      </c>
      <c r="F446" s="31" t="s">
        <v>1376</v>
      </c>
    </row>
    <row r="447" spans="2:6" x14ac:dyDescent="0.35">
      <c r="B447" s="31" t="s">
        <v>1371</v>
      </c>
      <c r="C447" s="31" t="s">
        <v>802</v>
      </c>
      <c r="D447" s="31" t="s">
        <v>1372</v>
      </c>
      <c r="E447" s="31" t="s">
        <v>1373</v>
      </c>
      <c r="F447" s="31" t="s">
        <v>1377</v>
      </c>
    </row>
    <row r="448" spans="2:6" x14ac:dyDescent="0.35">
      <c r="B448" s="31" t="s">
        <v>1371</v>
      </c>
      <c r="C448" s="31" t="s">
        <v>809</v>
      </c>
      <c r="D448" s="31" t="s">
        <v>1372</v>
      </c>
      <c r="E448" s="31" t="s">
        <v>1373</v>
      </c>
      <c r="F448" s="31" t="s">
        <v>1378</v>
      </c>
    </row>
    <row r="449" spans="2:6" x14ac:dyDescent="0.35">
      <c r="B449" s="31" t="s">
        <v>1371</v>
      </c>
      <c r="C449" s="31" t="s">
        <v>817</v>
      </c>
      <c r="D449" s="31" t="s">
        <v>1372</v>
      </c>
      <c r="E449" s="31" t="s">
        <v>1373</v>
      </c>
      <c r="F449" s="31" t="s">
        <v>1379</v>
      </c>
    </row>
    <row r="450" spans="2:6" x14ac:dyDescent="0.35">
      <c r="B450" s="31" t="s">
        <v>1371</v>
      </c>
      <c r="C450" s="31" t="s">
        <v>822</v>
      </c>
      <c r="D450" s="31" t="s">
        <v>1372</v>
      </c>
      <c r="E450" s="31" t="s">
        <v>1373</v>
      </c>
      <c r="F450" s="31" t="s">
        <v>1380</v>
      </c>
    </row>
    <row r="451" spans="2:6" x14ac:dyDescent="0.35">
      <c r="B451" s="31" t="s">
        <v>1371</v>
      </c>
      <c r="C451" s="31" t="s">
        <v>838</v>
      </c>
      <c r="D451" s="31" t="s">
        <v>1372</v>
      </c>
      <c r="E451" s="31" t="s">
        <v>1373</v>
      </c>
      <c r="F451" s="31" t="s">
        <v>1381</v>
      </c>
    </row>
    <row r="452" spans="2:6" x14ac:dyDescent="0.35">
      <c r="B452" s="31" t="s">
        <v>1371</v>
      </c>
      <c r="C452" s="31" t="s">
        <v>843</v>
      </c>
      <c r="D452" s="31" t="s">
        <v>1372</v>
      </c>
      <c r="E452" s="31" t="s">
        <v>1373</v>
      </c>
      <c r="F452" s="31" t="s">
        <v>1382</v>
      </c>
    </row>
    <row r="453" spans="2:6" x14ac:dyDescent="0.35">
      <c r="B453" s="31" t="s">
        <v>1371</v>
      </c>
      <c r="C453" s="31" t="s">
        <v>33</v>
      </c>
      <c r="D453" s="31" t="s">
        <v>1372</v>
      </c>
      <c r="E453" s="31" t="s">
        <v>1373</v>
      </c>
      <c r="F453" s="31" t="s">
        <v>1383</v>
      </c>
    </row>
    <row r="454" spans="2:6" x14ac:dyDescent="0.35">
      <c r="B454" s="31" t="s">
        <v>1371</v>
      </c>
      <c r="C454" s="31" t="s">
        <v>851</v>
      </c>
      <c r="D454" s="31" t="s">
        <v>1372</v>
      </c>
      <c r="E454" s="31" t="s">
        <v>1373</v>
      </c>
      <c r="F454" s="31" t="s">
        <v>1384</v>
      </c>
    </row>
    <row r="455" spans="2:6" x14ac:dyDescent="0.35">
      <c r="B455" s="31" t="s">
        <v>1371</v>
      </c>
      <c r="C455" s="31" t="s">
        <v>860</v>
      </c>
      <c r="D455" s="31" t="s">
        <v>1372</v>
      </c>
      <c r="E455" s="31" t="s">
        <v>1373</v>
      </c>
      <c r="F455" s="31" t="s">
        <v>1385</v>
      </c>
    </row>
    <row r="456" spans="2:6" x14ac:dyDescent="0.35">
      <c r="B456" s="31" t="s">
        <v>1371</v>
      </c>
      <c r="C456" s="31" t="s">
        <v>1319</v>
      </c>
      <c r="D456" s="31" t="s">
        <v>1372</v>
      </c>
      <c r="E456" s="31" t="s">
        <v>1373</v>
      </c>
      <c r="F456" s="31" t="s">
        <v>1386</v>
      </c>
    </row>
    <row r="457" spans="2:6" x14ac:dyDescent="0.35">
      <c r="B457" s="31" t="s">
        <v>1371</v>
      </c>
      <c r="C457" s="31" t="s">
        <v>882</v>
      </c>
      <c r="D457" s="31" t="s">
        <v>1372</v>
      </c>
      <c r="E457" s="31" t="s">
        <v>1373</v>
      </c>
      <c r="F457" s="31" t="s">
        <v>1387</v>
      </c>
    </row>
    <row r="458" spans="2:6" x14ac:dyDescent="0.35">
      <c r="B458" s="31" t="s">
        <v>1371</v>
      </c>
      <c r="C458" s="31" t="s">
        <v>890</v>
      </c>
      <c r="D458" s="31" t="s">
        <v>1372</v>
      </c>
      <c r="E458" s="31" t="s">
        <v>1373</v>
      </c>
      <c r="F458" s="31" t="s">
        <v>1388</v>
      </c>
    </row>
    <row r="459" spans="2:6" x14ac:dyDescent="0.35">
      <c r="B459" s="31" t="s">
        <v>1371</v>
      </c>
      <c r="C459" s="31" t="s">
        <v>894</v>
      </c>
      <c r="D459" s="31" t="s">
        <v>1372</v>
      </c>
      <c r="E459" s="31" t="s">
        <v>1373</v>
      </c>
      <c r="F459" s="31" t="s">
        <v>1389</v>
      </c>
    </row>
    <row r="460" spans="2:6" x14ac:dyDescent="0.35">
      <c r="B460" s="31" t="s">
        <v>1371</v>
      </c>
      <c r="C460" s="31" t="s">
        <v>899</v>
      </c>
      <c r="D460" s="31" t="s">
        <v>1372</v>
      </c>
      <c r="E460" s="31" t="s">
        <v>1373</v>
      </c>
      <c r="F460" s="31" t="s">
        <v>1390</v>
      </c>
    </row>
    <row r="461" spans="2:6" x14ac:dyDescent="0.35">
      <c r="B461" s="31" t="s">
        <v>1371</v>
      </c>
      <c r="C461" s="31" t="s">
        <v>916</v>
      </c>
      <c r="D461" s="31" t="s">
        <v>1372</v>
      </c>
      <c r="E461" s="31" t="s">
        <v>1373</v>
      </c>
      <c r="F461" s="31" t="s">
        <v>1391</v>
      </c>
    </row>
    <row r="462" spans="2:6" x14ac:dyDescent="0.35">
      <c r="B462" s="31" t="s">
        <v>1371</v>
      </c>
      <c r="C462" s="31" t="s">
        <v>924</v>
      </c>
      <c r="D462" s="31" t="s">
        <v>1372</v>
      </c>
      <c r="E462" s="31" t="s">
        <v>1373</v>
      </c>
      <c r="F462" s="31" t="s">
        <v>1392</v>
      </c>
    </row>
    <row r="463" spans="2:6" x14ac:dyDescent="0.35">
      <c r="B463" s="31" t="s">
        <v>1371</v>
      </c>
      <c r="C463" s="31" t="s">
        <v>931</v>
      </c>
      <c r="D463" s="31" t="s">
        <v>1372</v>
      </c>
      <c r="E463" s="31" t="s">
        <v>1373</v>
      </c>
      <c r="F463" s="31" t="s">
        <v>1393</v>
      </c>
    </row>
    <row r="464" spans="2:6" x14ac:dyDescent="0.35">
      <c r="B464" s="31" t="s">
        <v>1371</v>
      </c>
      <c r="C464" s="31" t="s">
        <v>1349</v>
      </c>
      <c r="D464" s="31" t="s">
        <v>1372</v>
      </c>
      <c r="E464" s="31" t="s">
        <v>1373</v>
      </c>
      <c r="F464" s="31" t="s">
        <v>1394</v>
      </c>
    </row>
    <row r="465" spans="2:6" x14ac:dyDescent="0.35">
      <c r="B465" s="31" t="s">
        <v>1371</v>
      </c>
      <c r="C465" s="31" t="s">
        <v>944</v>
      </c>
      <c r="D465" s="31" t="s">
        <v>1372</v>
      </c>
      <c r="E465" s="31" t="s">
        <v>1373</v>
      </c>
      <c r="F465" s="31" t="s">
        <v>1395</v>
      </c>
    </row>
    <row r="466" spans="2:6" x14ac:dyDescent="0.35">
      <c r="B466" s="31" t="s">
        <v>1371</v>
      </c>
      <c r="C466" s="31" t="s">
        <v>1356</v>
      </c>
      <c r="D466" s="31" t="s">
        <v>1372</v>
      </c>
      <c r="E466" s="31" t="s">
        <v>1373</v>
      </c>
      <c r="F466" s="31" t="s">
        <v>1396</v>
      </c>
    </row>
    <row r="467" spans="2:6" x14ac:dyDescent="0.35">
      <c r="B467" s="31" t="s">
        <v>1371</v>
      </c>
      <c r="C467" s="31" t="s">
        <v>200</v>
      </c>
      <c r="D467" s="31" t="s">
        <v>1372</v>
      </c>
      <c r="E467" s="31" t="s">
        <v>1373</v>
      </c>
      <c r="F467" s="31" t="s">
        <v>1397</v>
      </c>
    </row>
    <row r="468" spans="2:6" x14ac:dyDescent="0.35">
      <c r="B468" s="31" t="s">
        <v>1371</v>
      </c>
      <c r="C468" s="31" t="s">
        <v>957</v>
      </c>
      <c r="D468" s="31" t="s">
        <v>1372</v>
      </c>
      <c r="E468" s="31" t="s">
        <v>1373</v>
      </c>
      <c r="F468" s="31" t="s">
        <v>1398</v>
      </c>
    </row>
    <row r="469" spans="2:6" x14ac:dyDescent="0.35">
      <c r="B469" s="31" t="s">
        <v>1371</v>
      </c>
      <c r="C469" s="31" t="s">
        <v>966</v>
      </c>
      <c r="D469" s="31" t="s">
        <v>1372</v>
      </c>
      <c r="E469" s="31" t="s">
        <v>1373</v>
      </c>
      <c r="F469" s="31" t="s">
        <v>1399</v>
      </c>
    </row>
    <row r="470" spans="2:6" x14ac:dyDescent="0.35">
      <c r="B470" s="31" t="s">
        <v>1371</v>
      </c>
      <c r="C470" s="31" t="s">
        <v>971</v>
      </c>
      <c r="D470" s="31" t="s">
        <v>1372</v>
      </c>
      <c r="E470" s="31" t="s">
        <v>1373</v>
      </c>
      <c r="F470" s="31" t="s">
        <v>1400</v>
      </c>
    </row>
    <row r="471" spans="2:6" x14ac:dyDescent="0.35">
      <c r="B471" s="31" t="s">
        <v>1371</v>
      </c>
      <c r="C471" s="31" t="s">
        <v>209</v>
      </c>
      <c r="D471" s="31" t="s">
        <v>1372</v>
      </c>
      <c r="E471" s="31" t="s">
        <v>1373</v>
      </c>
      <c r="F471" s="31" t="s">
        <v>1401</v>
      </c>
    </row>
    <row r="472" spans="2:6" x14ac:dyDescent="0.35">
      <c r="B472" s="31" t="s">
        <v>1371</v>
      </c>
      <c r="C472" s="31" t="s">
        <v>157</v>
      </c>
      <c r="D472" s="31" t="s">
        <v>1402</v>
      </c>
      <c r="E472" s="31" t="s">
        <v>1403</v>
      </c>
      <c r="F472" s="31" t="s">
        <v>1404</v>
      </c>
    </row>
    <row r="473" spans="2:6" x14ac:dyDescent="0.35">
      <c r="B473" s="31" t="s">
        <v>1371</v>
      </c>
      <c r="C473" s="31" t="s">
        <v>553</v>
      </c>
      <c r="D473" s="31" t="s">
        <v>1402</v>
      </c>
      <c r="E473" s="31" t="s">
        <v>1405</v>
      </c>
      <c r="F473" s="31" t="s">
        <v>1406</v>
      </c>
    </row>
    <row r="474" spans="2:6" x14ac:dyDescent="0.35">
      <c r="B474" s="31" t="s">
        <v>1371</v>
      </c>
      <c r="C474" s="31" t="s">
        <v>300</v>
      </c>
      <c r="D474" s="31" t="s">
        <v>1402</v>
      </c>
      <c r="E474" s="31" t="s">
        <v>1407</v>
      </c>
      <c r="F474" s="31" t="s">
        <v>1408</v>
      </c>
    </row>
    <row r="475" spans="2:6" x14ac:dyDescent="0.35">
      <c r="B475" s="31" t="s">
        <v>1371</v>
      </c>
      <c r="C475" s="31" t="s">
        <v>259</v>
      </c>
      <c r="D475" s="31" t="s">
        <v>1402</v>
      </c>
      <c r="E475" s="31" t="s">
        <v>1409</v>
      </c>
      <c r="F475" s="31" t="s">
        <v>1410</v>
      </c>
    </row>
    <row r="476" spans="2:6" x14ac:dyDescent="0.35">
      <c r="B476" s="31" t="s">
        <v>1371</v>
      </c>
      <c r="C476" s="31" t="s">
        <v>157</v>
      </c>
      <c r="D476" s="31" t="s">
        <v>6</v>
      </c>
      <c r="E476" s="31" t="s">
        <v>219</v>
      </c>
      <c r="F476" s="31" t="s">
        <v>37</v>
      </c>
    </row>
    <row r="477" spans="2:6" x14ac:dyDescent="0.35">
      <c r="B477" s="31" t="s">
        <v>1371</v>
      </c>
      <c r="C477" s="31" t="s">
        <v>49</v>
      </c>
      <c r="D477" s="31" t="s">
        <v>6</v>
      </c>
      <c r="E477" s="31" t="s">
        <v>219</v>
      </c>
      <c r="F477" s="31" t="s">
        <v>37</v>
      </c>
    </row>
    <row r="478" spans="2:6" x14ac:dyDescent="0.35">
      <c r="B478" s="31" t="s">
        <v>1371</v>
      </c>
      <c r="C478" s="31" t="s">
        <v>65</v>
      </c>
      <c r="D478" s="31" t="s">
        <v>6</v>
      </c>
      <c r="E478" s="31" t="s">
        <v>219</v>
      </c>
      <c r="F478" s="31" t="s">
        <v>37</v>
      </c>
    </row>
    <row r="479" spans="2:6" x14ac:dyDescent="0.35">
      <c r="B479" s="31" t="s">
        <v>1371</v>
      </c>
      <c r="C479" s="31" t="s">
        <v>300</v>
      </c>
      <c r="D479" s="31" t="s">
        <v>6</v>
      </c>
      <c r="E479" s="31" t="s">
        <v>363</v>
      </c>
      <c r="F479" s="31" t="s">
        <v>219</v>
      </c>
    </row>
    <row r="480" spans="2:6" x14ac:dyDescent="0.35">
      <c r="B480" s="31" t="s">
        <v>1371</v>
      </c>
      <c r="C480" s="31" t="s">
        <v>259</v>
      </c>
      <c r="D480" s="31" t="s">
        <v>6</v>
      </c>
      <c r="E480" s="31" t="s">
        <v>363</v>
      </c>
      <c r="F480" s="31" t="s">
        <v>219</v>
      </c>
    </row>
    <row r="481" spans="2:6" x14ac:dyDescent="0.35">
      <c r="B481" s="31" t="s">
        <v>1371</v>
      </c>
      <c r="C481" s="31" t="s">
        <v>157</v>
      </c>
      <c r="D481" s="31" t="s">
        <v>1411</v>
      </c>
      <c r="E481" s="31" t="s">
        <v>1412</v>
      </c>
      <c r="F481" s="31" t="s">
        <v>1413</v>
      </c>
    </row>
    <row r="482" spans="2:6" x14ac:dyDescent="0.35">
      <c r="B482" s="31" t="s">
        <v>1371</v>
      </c>
      <c r="C482" s="31" t="s">
        <v>49</v>
      </c>
      <c r="D482" s="31" t="s">
        <v>1411</v>
      </c>
      <c r="E482" s="31" t="s">
        <v>1414</v>
      </c>
      <c r="F482" s="31" t="s">
        <v>1415</v>
      </c>
    </row>
    <row r="483" spans="2:6" x14ac:dyDescent="0.35">
      <c r="B483" s="31" t="s">
        <v>1371</v>
      </c>
      <c r="C483" s="31" t="s">
        <v>553</v>
      </c>
      <c r="D483" s="31" t="s">
        <v>1411</v>
      </c>
      <c r="E483" s="31" t="s">
        <v>1416</v>
      </c>
      <c r="F483" s="31" t="s">
        <v>1417</v>
      </c>
    </row>
    <row r="484" spans="2:6" x14ac:dyDescent="0.35">
      <c r="B484" s="31" t="s">
        <v>1371</v>
      </c>
      <c r="C484" s="31" t="s">
        <v>564</v>
      </c>
      <c r="D484" s="31" t="s">
        <v>1411</v>
      </c>
      <c r="E484" s="31" t="s">
        <v>1414</v>
      </c>
      <c r="F484" s="31" t="s">
        <v>1417</v>
      </c>
    </row>
    <row r="485" spans="2:6" x14ac:dyDescent="0.35">
      <c r="B485" s="31" t="s">
        <v>1371</v>
      </c>
      <c r="C485" s="31" t="s">
        <v>361</v>
      </c>
      <c r="D485" s="31" t="s">
        <v>1411</v>
      </c>
      <c r="E485" s="31" t="s">
        <v>1418</v>
      </c>
      <c r="F485" s="31" t="s">
        <v>1419</v>
      </c>
    </row>
    <row r="486" spans="2:6" x14ac:dyDescent="0.35">
      <c r="B486" s="31" t="s">
        <v>1371</v>
      </c>
      <c r="C486" s="31" t="s">
        <v>300</v>
      </c>
      <c r="D486" s="31" t="s">
        <v>1411</v>
      </c>
      <c r="E486" s="31" t="s">
        <v>1420</v>
      </c>
      <c r="F486" s="31" t="s">
        <v>1421</v>
      </c>
    </row>
    <row r="487" spans="2:6" x14ac:dyDescent="0.35">
      <c r="B487" s="31" t="s">
        <v>1371</v>
      </c>
      <c r="C487" s="31" t="s">
        <v>259</v>
      </c>
      <c r="D487" s="31" t="s">
        <v>1411</v>
      </c>
      <c r="E487" s="31" t="s">
        <v>1422</v>
      </c>
      <c r="F487" s="31" t="s">
        <v>1423</v>
      </c>
    </row>
    <row r="488" spans="2:6" x14ac:dyDescent="0.35">
      <c r="B488" s="31" t="s">
        <v>1371</v>
      </c>
      <c r="C488" s="31" t="s">
        <v>582</v>
      </c>
      <c r="D488" s="31" t="s">
        <v>1411</v>
      </c>
      <c r="E488" s="31" t="s">
        <v>1414</v>
      </c>
      <c r="F488" s="31" t="s">
        <v>1424</v>
      </c>
    </row>
    <row r="489" spans="2:6" x14ac:dyDescent="0.35">
      <c r="B489" s="31" t="s">
        <v>1371</v>
      </c>
      <c r="C489" s="31" t="s">
        <v>727</v>
      </c>
      <c r="D489" s="31" t="s">
        <v>1411</v>
      </c>
      <c r="E489" s="31" t="s">
        <v>1414</v>
      </c>
      <c r="F489" s="31" t="s">
        <v>1425</v>
      </c>
    </row>
    <row r="490" spans="2:6" x14ac:dyDescent="0.35">
      <c r="B490" s="31" t="s">
        <v>1371</v>
      </c>
      <c r="C490" s="31" t="s">
        <v>745</v>
      </c>
      <c r="D490" s="31" t="s">
        <v>1411</v>
      </c>
      <c r="E490" s="31" t="s">
        <v>1414</v>
      </c>
      <c r="F490" s="31" t="s">
        <v>1265</v>
      </c>
    </row>
    <row r="491" spans="2:6" x14ac:dyDescent="0.35">
      <c r="B491" s="31" t="s">
        <v>1371</v>
      </c>
      <c r="C491" s="31" t="s">
        <v>157</v>
      </c>
      <c r="D491" s="31" t="s">
        <v>15</v>
      </c>
      <c r="E491" s="31" t="s">
        <v>1426</v>
      </c>
      <c r="F491" s="31" t="s">
        <v>1427</v>
      </c>
    </row>
    <row r="492" spans="2:6" x14ac:dyDescent="0.35">
      <c r="B492" s="31" t="s">
        <v>1371</v>
      </c>
      <c r="C492" s="31" t="s">
        <v>517</v>
      </c>
      <c r="D492" s="31" t="s">
        <v>15</v>
      </c>
      <c r="E492" s="31" t="s">
        <v>1414</v>
      </c>
      <c r="F492" s="31" t="s">
        <v>1428</v>
      </c>
    </row>
    <row r="493" spans="2:6" x14ac:dyDescent="0.35">
      <c r="B493" s="31" t="s">
        <v>1371</v>
      </c>
      <c r="C493" s="31" t="s">
        <v>529</v>
      </c>
      <c r="D493" s="31" t="s">
        <v>15</v>
      </c>
      <c r="E493" s="31" t="s">
        <v>1414</v>
      </c>
      <c r="F493" s="31" t="s">
        <v>1417</v>
      </c>
    </row>
    <row r="494" spans="2:6" x14ac:dyDescent="0.35">
      <c r="B494" s="31" t="s">
        <v>1371</v>
      </c>
      <c r="C494" s="31" t="s">
        <v>398</v>
      </c>
      <c r="D494" s="31" t="s">
        <v>15</v>
      </c>
      <c r="E494" s="31" t="s">
        <v>1414</v>
      </c>
      <c r="F494" s="31" t="s">
        <v>1429</v>
      </c>
    </row>
    <row r="495" spans="2:6" x14ac:dyDescent="0.35">
      <c r="B495" s="31" t="s">
        <v>1371</v>
      </c>
      <c r="C495" s="31" t="s">
        <v>553</v>
      </c>
      <c r="D495" s="31" t="s">
        <v>15</v>
      </c>
      <c r="E495" s="31" t="s">
        <v>1414</v>
      </c>
      <c r="F495" s="31" t="s">
        <v>1430</v>
      </c>
    </row>
    <row r="496" spans="2:6" x14ac:dyDescent="0.35">
      <c r="B496" s="31" t="s">
        <v>1371</v>
      </c>
      <c r="C496" s="31" t="s">
        <v>564</v>
      </c>
      <c r="D496" s="31" t="s">
        <v>15</v>
      </c>
      <c r="E496" s="31" t="s">
        <v>1414</v>
      </c>
      <c r="F496" s="31" t="s">
        <v>1430</v>
      </c>
    </row>
    <row r="497" spans="2:6" x14ac:dyDescent="0.35">
      <c r="B497" s="31" t="s">
        <v>1371</v>
      </c>
      <c r="C497" s="31" t="s">
        <v>663</v>
      </c>
      <c r="D497" s="31" t="s">
        <v>15</v>
      </c>
      <c r="E497" s="31" t="s">
        <v>1414</v>
      </c>
      <c r="F497" s="31" t="s">
        <v>1431</v>
      </c>
    </row>
    <row r="498" spans="2:6" x14ac:dyDescent="0.35">
      <c r="B498" s="31" t="s">
        <v>1371</v>
      </c>
      <c r="C498" s="31" t="s">
        <v>370</v>
      </c>
      <c r="D498" s="31" t="s">
        <v>15</v>
      </c>
      <c r="E498" s="31" t="s">
        <v>1414</v>
      </c>
      <c r="F498" s="31" t="s">
        <v>1432</v>
      </c>
    </row>
    <row r="499" spans="2:6" x14ac:dyDescent="0.35">
      <c r="B499" s="31" t="s">
        <v>1371</v>
      </c>
      <c r="C499" s="31" t="s">
        <v>259</v>
      </c>
      <c r="D499" s="31" t="s">
        <v>15</v>
      </c>
      <c r="E499" s="31" t="s">
        <v>1433</v>
      </c>
      <c r="F499" s="31" t="s">
        <v>1081</v>
      </c>
    </row>
    <row r="500" spans="2:6" x14ac:dyDescent="0.35">
      <c r="B500" s="31" t="s">
        <v>1371</v>
      </c>
      <c r="C500" s="31" t="s">
        <v>582</v>
      </c>
      <c r="D500" s="31" t="s">
        <v>15</v>
      </c>
      <c r="E500" s="31" t="s">
        <v>1414</v>
      </c>
      <c r="F500" s="31" t="s">
        <v>1434</v>
      </c>
    </row>
    <row r="501" spans="2:6" x14ac:dyDescent="0.35">
      <c r="B501" s="31" t="s">
        <v>1371</v>
      </c>
      <c r="C501" s="31" t="s">
        <v>339</v>
      </c>
      <c r="D501" s="31" t="s">
        <v>15</v>
      </c>
      <c r="E501" s="31" t="s">
        <v>1414</v>
      </c>
      <c r="F501" s="31" t="s">
        <v>1435</v>
      </c>
    </row>
    <row r="502" spans="2:6" x14ac:dyDescent="0.35">
      <c r="B502" s="31" t="s">
        <v>1371</v>
      </c>
      <c r="C502" s="31" t="s">
        <v>727</v>
      </c>
      <c r="D502" s="31" t="s">
        <v>15</v>
      </c>
      <c r="E502" s="31" t="s">
        <v>1414</v>
      </c>
      <c r="F502" s="31" t="s">
        <v>1264</v>
      </c>
    </row>
    <row r="503" spans="2:6" x14ac:dyDescent="0.35">
      <c r="B503" s="31" t="s">
        <v>1371</v>
      </c>
      <c r="C503" s="31" t="s">
        <v>277</v>
      </c>
      <c r="D503" s="31" t="s">
        <v>15</v>
      </c>
      <c r="E503" s="31" t="s">
        <v>1436</v>
      </c>
      <c r="F503" s="31" t="s">
        <v>1414</v>
      </c>
    </row>
    <row r="504" spans="2:6" x14ac:dyDescent="0.35">
      <c r="B504" s="31" t="s">
        <v>1371</v>
      </c>
      <c r="C504" s="31" t="s">
        <v>545</v>
      </c>
      <c r="D504" s="31" t="s">
        <v>15</v>
      </c>
      <c r="E504" s="31" t="s">
        <v>1414</v>
      </c>
      <c r="F504" s="31" t="s">
        <v>1437</v>
      </c>
    </row>
    <row r="505" spans="2:6" x14ac:dyDescent="0.35">
      <c r="B505" s="31" t="s">
        <v>1371</v>
      </c>
      <c r="C505" s="31" t="s">
        <v>571</v>
      </c>
      <c r="D505" s="31" t="s">
        <v>15</v>
      </c>
      <c r="E505" s="31" t="s">
        <v>1414</v>
      </c>
      <c r="F505" s="31" t="s">
        <v>1438</v>
      </c>
    </row>
    <row r="506" spans="2:6" x14ac:dyDescent="0.35">
      <c r="B506" s="31" t="s">
        <v>1371</v>
      </c>
      <c r="C506" s="31" t="s">
        <v>675</v>
      </c>
      <c r="D506" s="31" t="s">
        <v>15</v>
      </c>
      <c r="E506" s="31" t="s">
        <v>1414</v>
      </c>
      <c r="F506" s="31" t="s">
        <v>1439</v>
      </c>
    </row>
    <row r="507" spans="2:6" x14ac:dyDescent="0.35">
      <c r="B507" s="31" t="s">
        <v>1371</v>
      </c>
      <c r="C507" s="31" t="s">
        <v>157</v>
      </c>
      <c r="D507" s="31" t="s">
        <v>1010</v>
      </c>
      <c r="E507" s="31" t="s">
        <v>1440</v>
      </c>
      <c r="F507" s="31" t="s">
        <v>1441</v>
      </c>
    </row>
    <row r="508" spans="2:6" x14ac:dyDescent="0.35">
      <c r="B508" s="31" t="s">
        <v>1371</v>
      </c>
      <c r="C508" s="31" t="s">
        <v>517</v>
      </c>
      <c r="D508" s="31" t="s">
        <v>1010</v>
      </c>
      <c r="E508" s="31" t="s">
        <v>1414</v>
      </c>
      <c r="F508" s="31" t="s">
        <v>1442</v>
      </c>
    </row>
    <row r="509" spans="2:6" x14ac:dyDescent="0.35">
      <c r="B509" s="31" t="s">
        <v>1371</v>
      </c>
      <c r="C509" s="31" t="s">
        <v>529</v>
      </c>
      <c r="D509" s="31" t="s">
        <v>1010</v>
      </c>
      <c r="E509" s="31" t="s">
        <v>1414</v>
      </c>
      <c r="F509" s="31" t="s">
        <v>1315</v>
      </c>
    </row>
    <row r="510" spans="2:6" x14ac:dyDescent="0.35">
      <c r="B510" s="31" t="s">
        <v>1371</v>
      </c>
      <c r="C510" s="31" t="s">
        <v>398</v>
      </c>
      <c r="D510" s="31" t="s">
        <v>1010</v>
      </c>
      <c r="E510" s="31" t="s">
        <v>1414</v>
      </c>
      <c r="F510" s="31" t="s">
        <v>1443</v>
      </c>
    </row>
    <row r="511" spans="2:6" x14ac:dyDescent="0.35">
      <c r="B511" s="31" t="s">
        <v>1371</v>
      </c>
      <c r="C511" s="31" t="s">
        <v>370</v>
      </c>
      <c r="D511" s="31" t="s">
        <v>1010</v>
      </c>
      <c r="E511" s="31" t="s">
        <v>1414</v>
      </c>
      <c r="F511" s="31" t="s">
        <v>1444</v>
      </c>
    </row>
    <row r="512" spans="2:6" x14ac:dyDescent="0.35">
      <c r="B512" s="31" t="s">
        <v>1371</v>
      </c>
      <c r="C512" s="31" t="s">
        <v>582</v>
      </c>
      <c r="D512" s="31" t="s">
        <v>1010</v>
      </c>
      <c r="E512" s="31" t="s">
        <v>1414</v>
      </c>
      <c r="F512" s="31" t="s">
        <v>1445</v>
      </c>
    </row>
    <row r="513" spans="2:6" x14ac:dyDescent="0.35">
      <c r="B513" s="31" t="s">
        <v>1371</v>
      </c>
      <c r="C513" s="31" t="s">
        <v>339</v>
      </c>
      <c r="D513" s="31" t="s">
        <v>1010</v>
      </c>
      <c r="E513" s="31" t="s">
        <v>1414</v>
      </c>
      <c r="F513" s="31" t="s">
        <v>1446</v>
      </c>
    </row>
    <row r="514" spans="2:6" x14ac:dyDescent="0.35">
      <c r="B514" s="31" t="s">
        <v>1371</v>
      </c>
      <c r="C514" s="31" t="s">
        <v>727</v>
      </c>
      <c r="D514" s="31" t="s">
        <v>1010</v>
      </c>
      <c r="E514" s="31" t="s">
        <v>1414</v>
      </c>
      <c r="F514" s="31" t="s">
        <v>1447</v>
      </c>
    </row>
    <row r="515" spans="2:6" x14ac:dyDescent="0.35">
      <c r="B515" s="31" t="s">
        <v>1371</v>
      </c>
      <c r="C515" s="31" t="s">
        <v>277</v>
      </c>
      <c r="D515" s="31" t="s">
        <v>1010</v>
      </c>
      <c r="E515" s="31" t="s">
        <v>1414</v>
      </c>
      <c r="F515" s="31" t="s">
        <v>1436</v>
      </c>
    </row>
    <row r="516" spans="2:6" x14ac:dyDescent="0.35">
      <c r="B516" s="31" t="s">
        <v>1371</v>
      </c>
      <c r="C516" s="31" t="s">
        <v>545</v>
      </c>
      <c r="D516" s="31" t="s">
        <v>1010</v>
      </c>
      <c r="E516" s="31" t="s">
        <v>1414</v>
      </c>
      <c r="F516" s="31" t="s">
        <v>1448</v>
      </c>
    </row>
    <row r="517" spans="2:6" x14ac:dyDescent="0.35">
      <c r="B517" s="31" t="s">
        <v>1371</v>
      </c>
      <c r="C517" s="31" t="s">
        <v>675</v>
      </c>
      <c r="D517" s="31" t="s">
        <v>1010</v>
      </c>
      <c r="E517" s="31" t="s">
        <v>1414</v>
      </c>
      <c r="F517" s="31" t="s">
        <v>1449</v>
      </c>
    </row>
    <row r="518" spans="2:6" x14ac:dyDescent="0.35">
      <c r="B518" s="31" t="s">
        <v>1371</v>
      </c>
      <c r="C518" s="31" t="s">
        <v>157</v>
      </c>
      <c r="D518" s="31" t="s">
        <v>1450</v>
      </c>
      <c r="E518" s="31" t="s">
        <v>1451</v>
      </c>
      <c r="F518" s="31" t="s">
        <v>1452</v>
      </c>
    </row>
    <row r="519" spans="2:6" x14ac:dyDescent="0.35">
      <c r="B519" s="31" t="s">
        <v>1371</v>
      </c>
      <c r="C519" s="31" t="s">
        <v>398</v>
      </c>
      <c r="D519" s="31" t="s">
        <v>1450</v>
      </c>
      <c r="E519" s="31" t="s">
        <v>1453</v>
      </c>
      <c r="F519" s="31" t="s">
        <v>1454</v>
      </c>
    </row>
    <row r="520" spans="2:6" x14ac:dyDescent="0.35">
      <c r="B520" s="31" t="s">
        <v>1371</v>
      </c>
      <c r="C520" s="31" t="s">
        <v>553</v>
      </c>
      <c r="D520" s="31" t="s">
        <v>1450</v>
      </c>
      <c r="E520" s="31" t="s">
        <v>1455</v>
      </c>
      <c r="F520" s="31" t="s">
        <v>1204</v>
      </c>
    </row>
    <row r="521" spans="2:6" x14ac:dyDescent="0.35">
      <c r="B521" s="31" t="s">
        <v>1371</v>
      </c>
      <c r="C521" s="31" t="s">
        <v>300</v>
      </c>
      <c r="D521" s="31" t="s">
        <v>1450</v>
      </c>
      <c r="E521" s="31" t="s">
        <v>1456</v>
      </c>
      <c r="F521" s="31" t="s">
        <v>1457</v>
      </c>
    </row>
    <row r="522" spans="2:6" x14ac:dyDescent="0.35">
      <c r="B522" s="31" t="s">
        <v>1371</v>
      </c>
      <c r="C522" s="31" t="s">
        <v>259</v>
      </c>
      <c r="D522" s="31" t="s">
        <v>1450</v>
      </c>
      <c r="E522" s="31" t="s">
        <v>1458</v>
      </c>
      <c r="F522" s="31" t="s">
        <v>1459</v>
      </c>
    </row>
    <row r="523" spans="2:6" x14ac:dyDescent="0.35">
      <c r="B523" s="31" t="s">
        <v>1371</v>
      </c>
      <c r="C523" s="31" t="s">
        <v>157</v>
      </c>
      <c r="D523" s="31" t="s">
        <v>1460</v>
      </c>
      <c r="E523" s="31" t="s">
        <v>389</v>
      </c>
      <c r="F523" s="31" t="s">
        <v>1461</v>
      </c>
    </row>
    <row r="524" spans="2:6" x14ac:dyDescent="0.35">
      <c r="B524" s="31" t="s">
        <v>1371</v>
      </c>
      <c r="C524" s="31" t="s">
        <v>405</v>
      </c>
      <c r="D524" s="31" t="s">
        <v>1460</v>
      </c>
      <c r="E524" s="31" t="s">
        <v>382</v>
      </c>
      <c r="F524" s="31" t="s">
        <v>409</v>
      </c>
    </row>
    <row r="525" spans="2:6" x14ac:dyDescent="0.35">
      <c r="B525" s="31" t="s">
        <v>1371</v>
      </c>
      <c r="C525" s="31" t="s">
        <v>595</v>
      </c>
      <c r="D525" s="31" t="s">
        <v>1460</v>
      </c>
      <c r="E525" s="31" t="s">
        <v>382</v>
      </c>
      <c r="F525" s="31" t="s">
        <v>599</v>
      </c>
    </row>
    <row r="526" spans="2:6" x14ac:dyDescent="0.35">
      <c r="B526" s="31" t="s">
        <v>1371</v>
      </c>
      <c r="C526" s="31" t="s">
        <v>517</v>
      </c>
      <c r="D526" s="31" t="s">
        <v>1460</v>
      </c>
      <c r="E526" s="31" t="s">
        <v>389</v>
      </c>
      <c r="F526" s="31" t="s">
        <v>112</v>
      </c>
    </row>
    <row r="527" spans="2:6" x14ac:dyDescent="0.35">
      <c r="B527" s="31" t="s">
        <v>1371</v>
      </c>
      <c r="C527" s="31" t="s">
        <v>718</v>
      </c>
      <c r="D527" s="31" t="s">
        <v>1460</v>
      </c>
      <c r="E527" s="31" t="s">
        <v>389</v>
      </c>
      <c r="F527" s="31" t="s">
        <v>112</v>
      </c>
    </row>
    <row r="528" spans="2:6" x14ac:dyDescent="0.35">
      <c r="B528" s="31" t="s">
        <v>1371</v>
      </c>
      <c r="C528" s="31" t="s">
        <v>49</v>
      </c>
      <c r="D528" s="31" t="s">
        <v>1460</v>
      </c>
      <c r="E528" s="31" t="s">
        <v>389</v>
      </c>
      <c r="F528" s="31" t="s">
        <v>55</v>
      </c>
    </row>
    <row r="529" spans="2:6" x14ac:dyDescent="0.35">
      <c r="B529" s="31" t="s">
        <v>1371</v>
      </c>
      <c r="C529" s="31" t="s">
        <v>486</v>
      </c>
      <c r="D529" s="31" t="s">
        <v>1460</v>
      </c>
      <c r="E529" s="31" t="s">
        <v>389</v>
      </c>
      <c r="F529" s="31" t="s">
        <v>112</v>
      </c>
    </row>
    <row r="530" spans="2:6" x14ac:dyDescent="0.35">
      <c r="B530" s="31" t="s">
        <v>1371</v>
      </c>
      <c r="C530" s="31" t="s">
        <v>529</v>
      </c>
      <c r="D530" s="31" t="s">
        <v>1460</v>
      </c>
      <c r="E530" s="31" t="s">
        <v>389</v>
      </c>
      <c r="F530" s="31" t="s">
        <v>112</v>
      </c>
    </row>
    <row r="531" spans="2:6" x14ac:dyDescent="0.35">
      <c r="B531" s="31" t="s">
        <v>1371</v>
      </c>
      <c r="C531" s="31" t="s">
        <v>65</v>
      </c>
      <c r="D531" s="31" t="s">
        <v>1460</v>
      </c>
      <c r="E531" s="31" t="s">
        <v>389</v>
      </c>
      <c r="F531" s="31" t="s">
        <v>70</v>
      </c>
    </row>
    <row r="532" spans="2:6" x14ac:dyDescent="0.35">
      <c r="B532" s="31" t="s">
        <v>1371</v>
      </c>
      <c r="C532" s="31" t="s">
        <v>93</v>
      </c>
      <c r="D532" s="31" t="s">
        <v>1460</v>
      </c>
      <c r="E532" s="31" t="s">
        <v>382</v>
      </c>
      <c r="F532" s="31" t="s">
        <v>97</v>
      </c>
    </row>
    <row r="533" spans="2:6" x14ac:dyDescent="0.35">
      <c r="B533" s="31" t="s">
        <v>1371</v>
      </c>
      <c r="C533" s="31" t="s">
        <v>450</v>
      </c>
      <c r="D533" s="31" t="s">
        <v>1460</v>
      </c>
      <c r="E533" s="31" t="s">
        <v>382</v>
      </c>
      <c r="F533" s="31" t="s">
        <v>453</v>
      </c>
    </row>
    <row r="534" spans="2:6" x14ac:dyDescent="0.35">
      <c r="B534" s="31" t="s">
        <v>1371</v>
      </c>
      <c r="C534" s="31" t="s">
        <v>398</v>
      </c>
      <c r="D534" s="31" t="s">
        <v>1460</v>
      </c>
      <c r="E534" s="31" t="s">
        <v>389</v>
      </c>
      <c r="F534" s="31" t="s">
        <v>112</v>
      </c>
    </row>
    <row r="535" spans="2:6" x14ac:dyDescent="0.35">
      <c r="B535" s="31" t="s">
        <v>1371</v>
      </c>
      <c r="C535" s="31" t="s">
        <v>425</v>
      </c>
      <c r="D535" s="31" t="s">
        <v>1460</v>
      </c>
      <c r="E535" s="31" t="s">
        <v>1462</v>
      </c>
      <c r="F535" s="31" t="s">
        <v>428</v>
      </c>
    </row>
    <row r="536" spans="2:6" x14ac:dyDescent="0.35">
      <c r="B536" s="31" t="s">
        <v>1371</v>
      </c>
      <c r="C536" s="31" t="s">
        <v>773</v>
      </c>
      <c r="D536" s="31" t="s">
        <v>1460</v>
      </c>
      <c r="E536" s="31" t="s">
        <v>382</v>
      </c>
      <c r="F536" s="31" t="s">
        <v>775</v>
      </c>
    </row>
    <row r="537" spans="2:6" x14ac:dyDescent="0.35">
      <c r="B537" s="31" t="s">
        <v>1371</v>
      </c>
      <c r="C537" s="31" t="s">
        <v>79</v>
      </c>
      <c r="D537" s="31" t="s">
        <v>1460</v>
      </c>
      <c r="E537" s="31" t="s">
        <v>382</v>
      </c>
      <c r="F537" s="31" t="s">
        <v>83</v>
      </c>
    </row>
    <row r="538" spans="2:6" x14ac:dyDescent="0.35">
      <c r="B538" s="31" t="s">
        <v>1371</v>
      </c>
      <c r="C538" s="31" t="s">
        <v>831</v>
      </c>
      <c r="D538" s="31" t="s">
        <v>1460</v>
      </c>
      <c r="E538" s="31" t="s">
        <v>382</v>
      </c>
      <c r="F538" s="31" t="s">
        <v>112</v>
      </c>
    </row>
    <row r="539" spans="2:6" x14ac:dyDescent="0.35">
      <c r="B539" s="31" t="s">
        <v>1371</v>
      </c>
      <c r="C539" s="31" t="s">
        <v>682</v>
      </c>
      <c r="D539" s="31" t="s">
        <v>1460</v>
      </c>
      <c r="E539" s="31" t="s">
        <v>382</v>
      </c>
      <c r="F539" s="31" t="s">
        <v>472</v>
      </c>
    </row>
    <row r="540" spans="2:6" x14ac:dyDescent="0.35">
      <c r="B540" s="31" t="s">
        <v>1371</v>
      </c>
      <c r="C540" s="31" t="s">
        <v>589</v>
      </c>
      <c r="D540" s="31" t="s">
        <v>1460</v>
      </c>
      <c r="E540" s="31" t="s">
        <v>389</v>
      </c>
      <c r="F540" s="31" t="s">
        <v>112</v>
      </c>
    </row>
    <row r="541" spans="2:6" x14ac:dyDescent="0.35">
      <c r="B541" s="31" t="s">
        <v>1371</v>
      </c>
      <c r="C541" s="31" t="s">
        <v>523</v>
      </c>
      <c r="D541" s="31" t="s">
        <v>1460</v>
      </c>
      <c r="E541" s="31" t="s">
        <v>382</v>
      </c>
      <c r="F541" s="31" t="s">
        <v>453</v>
      </c>
    </row>
    <row r="542" spans="2:6" x14ac:dyDescent="0.35">
      <c r="B542" s="31" t="s">
        <v>1371</v>
      </c>
      <c r="C542" s="31" t="s">
        <v>327</v>
      </c>
      <c r="D542" s="31" t="s">
        <v>1460</v>
      </c>
      <c r="E542" s="31" t="s">
        <v>1463</v>
      </c>
      <c r="F542" s="31" t="s">
        <v>331</v>
      </c>
    </row>
    <row r="543" spans="2:6" x14ac:dyDescent="0.35">
      <c r="B543" s="31" t="s">
        <v>1371</v>
      </c>
      <c r="C543" s="31" t="s">
        <v>387</v>
      </c>
      <c r="D543" s="31" t="s">
        <v>1460</v>
      </c>
      <c r="E543" s="31" t="s">
        <v>1464</v>
      </c>
      <c r="F543" s="31" t="s">
        <v>391</v>
      </c>
    </row>
    <row r="544" spans="2:6" x14ac:dyDescent="0.35">
      <c r="B544" s="31" t="s">
        <v>1371</v>
      </c>
      <c r="C544" s="31" t="s">
        <v>361</v>
      </c>
      <c r="D544" s="31" t="s">
        <v>1460</v>
      </c>
      <c r="E544" s="31" t="s">
        <v>389</v>
      </c>
      <c r="F544" s="31" t="s">
        <v>112</v>
      </c>
    </row>
    <row r="545" spans="2:6" x14ac:dyDescent="0.35">
      <c r="B545" s="31" t="s">
        <v>1371</v>
      </c>
      <c r="C545" s="31" t="s">
        <v>470</v>
      </c>
      <c r="D545" s="31" t="s">
        <v>1460</v>
      </c>
      <c r="E545" s="31" t="s">
        <v>382</v>
      </c>
      <c r="F545" s="31" t="s">
        <v>472</v>
      </c>
    </row>
    <row r="546" spans="2:6" x14ac:dyDescent="0.35">
      <c r="B546" s="31" t="s">
        <v>1371</v>
      </c>
      <c r="C546" s="31" t="s">
        <v>314</v>
      </c>
      <c r="D546" s="31" t="s">
        <v>1460</v>
      </c>
      <c r="E546" s="31" t="s">
        <v>389</v>
      </c>
      <c r="F546" s="31" t="s">
        <v>1137</v>
      </c>
    </row>
    <row r="547" spans="2:6" x14ac:dyDescent="0.35">
      <c r="B547" s="31" t="s">
        <v>1371</v>
      </c>
      <c r="C547" s="31" t="s">
        <v>122</v>
      </c>
      <c r="D547" s="31" t="s">
        <v>1460</v>
      </c>
      <c r="E547" s="31" t="s">
        <v>389</v>
      </c>
      <c r="F547" s="31" t="s">
        <v>112</v>
      </c>
    </row>
    <row r="548" spans="2:6" x14ac:dyDescent="0.35">
      <c r="B548" s="31" t="s">
        <v>1371</v>
      </c>
      <c r="C548" s="31" t="s">
        <v>663</v>
      </c>
      <c r="D548" s="31" t="s">
        <v>1460</v>
      </c>
      <c r="E548" s="31" t="s">
        <v>1465</v>
      </c>
      <c r="F548" s="31" t="s">
        <v>1238</v>
      </c>
    </row>
    <row r="549" spans="2:6" x14ac:dyDescent="0.35">
      <c r="B549" s="31" t="s">
        <v>1371</v>
      </c>
      <c r="C549" s="31" t="s">
        <v>370</v>
      </c>
      <c r="D549" s="31" t="s">
        <v>1460</v>
      </c>
      <c r="E549" s="31" t="s">
        <v>1466</v>
      </c>
      <c r="F549" s="31" t="s">
        <v>374</v>
      </c>
    </row>
    <row r="550" spans="2:6" x14ac:dyDescent="0.35">
      <c r="B550" s="31" t="s">
        <v>1371</v>
      </c>
      <c r="C550" s="31" t="s">
        <v>624</v>
      </c>
      <c r="D550" s="31" t="s">
        <v>1460</v>
      </c>
      <c r="E550" s="31" t="s">
        <v>1467</v>
      </c>
      <c r="F550" s="31" t="s">
        <v>626</v>
      </c>
    </row>
    <row r="551" spans="2:6" x14ac:dyDescent="0.35">
      <c r="B551" s="31" t="s">
        <v>1371</v>
      </c>
      <c r="C551" s="31" t="s">
        <v>606</v>
      </c>
      <c r="D551" s="31" t="s">
        <v>1460</v>
      </c>
      <c r="E551" s="31" t="s">
        <v>389</v>
      </c>
      <c r="F551" s="31" t="s">
        <v>610</v>
      </c>
    </row>
    <row r="552" spans="2:6" x14ac:dyDescent="0.35">
      <c r="B552" s="31" t="s">
        <v>1371</v>
      </c>
      <c r="C552" s="31" t="s">
        <v>735</v>
      </c>
      <c r="D552" s="31" t="s">
        <v>1460</v>
      </c>
      <c r="E552" s="31" t="s">
        <v>1468</v>
      </c>
      <c r="F552" s="31" t="s">
        <v>737</v>
      </c>
    </row>
    <row r="553" spans="2:6" x14ac:dyDescent="0.35">
      <c r="B553" s="31" t="s">
        <v>1371</v>
      </c>
      <c r="C553" s="31" t="s">
        <v>171</v>
      </c>
      <c r="D553" s="31" t="s">
        <v>1460</v>
      </c>
      <c r="E553" s="31" t="s">
        <v>389</v>
      </c>
      <c r="F553" s="31" t="s">
        <v>175</v>
      </c>
    </row>
    <row r="554" spans="2:6" x14ac:dyDescent="0.35">
      <c r="B554" s="31" t="s">
        <v>1371</v>
      </c>
      <c r="C554" s="31" t="s">
        <v>300</v>
      </c>
      <c r="D554" s="31" t="s">
        <v>1460</v>
      </c>
      <c r="E554" s="31" t="s">
        <v>389</v>
      </c>
      <c r="F554" s="31" t="s">
        <v>305</v>
      </c>
    </row>
    <row r="555" spans="2:6" x14ac:dyDescent="0.35">
      <c r="B555" s="31" t="s">
        <v>1371</v>
      </c>
      <c r="C555" s="31" t="s">
        <v>866</v>
      </c>
      <c r="D555" s="31" t="s">
        <v>1460</v>
      </c>
      <c r="E555" s="31" t="s">
        <v>382</v>
      </c>
      <c r="F555" s="31" t="s">
        <v>869</v>
      </c>
    </row>
    <row r="556" spans="2:6" x14ac:dyDescent="0.35">
      <c r="B556" s="31" t="s">
        <v>1371</v>
      </c>
      <c r="C556" s="31" t="s">
        <v>632</v>
      </c>
      <c r="D556" s="31" t="s">
        <v>1460</v>
      </c>
      <c r="E556" s="31" t="s">
        <v>1469</v>
      </c>
      <c r="F556" s="31" t="s">
        <v>636</v>
      </c>
    </row>
    <row r="557" spans="2:6" x14ac:dyDescent="0.35">
      <c r="B557" s="31" t="s">
        <v>1371</v>
      </c>
      <c r="C557" s="31" t="s">
        <v>458</v>
      </c>
      <c r="D557" s="31" t="s">
        <v>1460</v>
      </c>
      <c r="E557" s="31" t="s">
        <v>1470</v>
      </c>
      <c r="F557" s="31" t="s">
        <v>462</v>
      </c>
    </row>
    <row r="558" spans="2:6" x14ac:dyDescent="0.35">
      <c r="B558" s="31" t="s">
        <v>1371</v>
      </c>
      <c r="C558" s="31" t="s">
        <v>259</v>
      </c>
      <c r="D558" s="31" t="s">
        <v>1460</v>
      </c>
      <c r="E558" s="31" t="s">
        <v>382</v>
      </c>
      <c r="F558" s="31" t="s">
        <v>263</v>
      </c>
    </row>
    <row r="559" spans="2:6" x14ac:dyDescent="0.35">
      <c r="B559" s="31" t="s">
        <v>1371</v>
      </c>
      <c r="C559" s="31" t="s">
        <v>107</v>
      </c>
      <c r="D559" s="31" t="s">
        <v>1460</v>
      </c>
      <c r="E559" s="31" t="s">
        <v>389</v>
      </c>
      <c r="F559" s="31" t="s">
        <v>112</v>
      </c>
    </row>
    <row r="560" spans="2:6" x14ac:dyDescent="0.35">
      <c r="B560" s="31" t="s">
        <v>1371</v>
      </c>
      <c r="C560" s="31" t="s">
        <v>757</v>
      </c>
      <c r="D560" s="31" t="s">
        <v>1460</v>
      </c>
      <c r="E560" s="31" t="s">
        <v>382</v>
      </c>
      <c r="F560" s="31" t="s">
        <v>599</v>
      </c>
    </row>
    <row r="561" spans="2:6" x14ac:dyDescent="0.35">
      <c r="B561" s="31" t="s">
        <v>1371</v>
      </c>
      <c r="C561" s="31" t="s">
        <v>144</v>
      </c>
      <c r="D561" s="31" t="s">
        <v>1460</v>
      </c>
      <c r="E561" s="31" t="s">
        <v>389</v>
      </c>
      <c r="F561" s="31" t="s">
        <v>149</v>
      </c>
    </row>
    <row r="562" spans="2:6" x14ac:dyDescent="0.35">
      <c r="B562" s="31" t="s">
        <v>1371</v>
      </c>
      <c r="C562" s="31" t="s">
        <v>766</v>
      </c>
      <c r="D562" s="31" t="s">
        <v>1460</v>
      </c>
      <c r="E562" s="31" t="s">
        <v>382</v>
      </c>
      <c r="F562" s="31" t="s">
        <v>599</v>
      </c>
    </row>
    <row r="563" spans="2:6" x14ac:dyDescent="0.35">
      <c r="B563" s="31" t="s">
        <v>1371</v>
      </c>
      <c r="C563" s="31" t="s">
        <v>478</v>
      </c>
      <c r="D563" s="31" t="s">
        <v>1460</v>
      </c>
      <c r="E563" s="31" t="s">
        <v>389</v>
      </c>
      <c r="F563" s="31" t="s">
        <v>482</v>
      </c>
    </row>
    <row r="564" spans="2:6" x14ac:dyDescent="0.35">
      <c r="B564" s="31" t="s">
        <v>1371</v>
      </c>
      <c r="C564" s="31" t="s">
        <v>236</v>
      </c>
      <c r="D564" s="31" t="s">
        <v>1460</v>
      </c>
      <c r="E564" s="31" t="s">
        <v>1471</v>
      </c>
      <c r="F564" s="31" t="s">
        <v>240</v>
      </c>
    </row>
    <row r="565" spans="2:6" x14ac:dyDescent="0.35">
      <c r="B565" s="31" t="s">
        <v>1371</v>
      </c>
      <c r="C565" s="31" t="s">
        <v>510</v>
      </c>
      <c r="D565" s="31" t="s">
        <v>1460</v>
      </c>
      <c r="E565" s="31" t="s">
        <v>1472</v>
      </c>
      <c r="F565" s="31" t="s">
        <v>513</v>
      </c>
    </row>
    <row r="566" spans="2:6" x14ac:dyDescent="0.35">
      <c r="B566" s="31" t="s">
        <v>1371</v>
      </c>
      <c r="C566" s="31" t="s">
        <v>690</v>
      </c>
      <c r="D566" s="31" t="s">
        <v>1460</v>
      </c>
      <c r="E566" s="31" t="s">
        <v>382</v>
      </c>
      <c r="F566" s="31" t="s">
        <v>692</v>
      </c>
    </row>
    <row r="567" spans="2:6" x14ac:dyDescent="0.35">
      <c r="B567" s="31" t="s">
        <v>1371</v>
      </c>
      <c r="C567" s="31" t="s">
        <v>339</v>
      </c>
      <c r="D567" s="31" t="s">
        <v>1460</v>
      </c>
      <c r="E567" s="31" t="s">
        <v>389</v>
      </c>
      <c r="F567" s="31" t="s">
        <v>112</v>
      </c>
    </row>
    <row r="568" spans="2:6" x14ac:dyDescent="0.35">
      <c r="B568" s="31" t="s">
        <v>1371</v>
      </c>
      <c r="C568" s="31" t="s">
        <v>727</v>
      </c>
      <c r="D568" s="31" t="s">
        <v>1460</v>
      </c>
      <c r="E568" s="31" t="s">
        <v>382</v>
      </c>
      <c r="F568" s="31" t="s">
        <v>729</v>
      </c>
    </row>
    <row r="569" spans="2:6" x14ac:dyDescent="0.35">
      <c r="B569" s="31" t="s">
        <v>1371</v>
      </c>
      <c r="C569" s="31" t="s">
        <v>906</v>
      </c>
      <c r="D569" s="31" t="s">
        <v>1460</v>
      </c>
      <c r="E569" s="31" t="s">
        <v>389</v>
      </c>
      <c r="F569" s="31" t="s">
        <v>112</v>
      </c>
    </row>
    <row r="570" spans="2:6" x14ac:dyDescent="0.35">
      <c r="B570" s="31" t="s">
        <v>1371</v>
      </c>
      <c r="C570" s="31" t="s">
        <v>287</v>
      </c>
      <c r="D570" s="31" t="s">
        <v>1460</v>
      </c>
      <c r="E570" s="31" t="s">
        <v>382</v>
      </c>
      <c r="F570" s="31" t="s">
        <v>291</v>
      </c>
    </row>
    <row r="571" spans="2:6" x14ac:dyDescent="0.35">
      <c r="B571" s="31" t="s">
        <v>1371</v>
      </c>
      <c r="C571" s="31" t="s">
        <v>226</v>
      </c>
      <c r="D571" s="31" t="s">
        <v>1460</v>
      </c>
      <c r="E571" s="31" t="s">
        <v>389</v>
      </c>
      <c r="F571" s="31" t="s">
        <v>229</v>
      </c>
    </row>
    <row r="572" spans="2:6" x14ac:dyDescent="0.35">
      <c r="B572" s="31" t="s">
        <v>1371</v>
      </c>
      <c r="C572" s="31" t="s">
        <v>277</v>
      </c>
      <c r="D572" s="31" t="s">
        <v>1460</v>
      </c>
      <c r="E572" s="31" t="s">
        <v>389</v>
      </c>
      <c r="F572" s="31" t="s">
        <v>281</v>
      </c>
    </row>
    <row r="573" spans="2:6" x14ac:dyDescent="0.35">
      <c r="B573" s="31" t="s">
        <v>1371</v>
      </c>
      <c r="C573" s="31" t="s">
        <v>351</v>
      </c>
      <c r="D573" s="31" t="s">
        <v>1460</v>
      </c>
      <c r="E573" s="31" t="s">
        <v>389</v>
      </c>
      <c r="F573" s="31" t="s">
        <v>354</v>
      </c>
    </row>
    <row r="574" spans="2:6" x14ac:dyDescent="0.35">
      <c r="B574" s="31" t="s">
        <v>1371</v>
      </c>
      <c r="C574" s="31" t="s">
        <v>180</v>
      </c>
      <c r="D574" s="31" t="s">
        <v>1460</v>
      </c>
      <c r="E574" s="31" t="s">
        <v>389</v>
      </c>
      <c r="F574" s="31" t="s">
        <v>112</v>
      </c>
    </row>
    <row r="575" spans="2:6" x14ac:dyDescent="0.35">
      <c r="B575" s="31" t="s">
        <v>1371</v>
      </c>
      <c r="C575" s="31" t="s">
        <v>654</v>
      </c>
      <c r="D575" s="31" t="s">
        <v>1460</v>
      </c>
      <c r="E575" s="31" t="s">
        <v>382</v>
      </c>
      <c r="F575" s="31" t="s">
        <v>656</v>
      </c>
    </row>
    <row r="576" spans="2:6" x14ac:dyDescent="0.35">
      <c r="B576" s="31" t="s">
        <v>1371</v>
      </c>
      <c r="C576" s="31" t="s">
        <v>782</v>
      </c>
      <c r="D576" s="31" t="s">
        <v>1460</v>
      </c>
      <c r="E576" s="31" t="s">
        <v>382</v>
      </c>
      <c r="F576" s="31" t="s">
        <v>775</v>
      </c>
    </row>
    <row r="577" spans="2:6" x14ac:dyDescent="0.35">
      <c r="B577" s="31" t="s">
        <v>1371</v>
      </c>
      <c r="C577" s="31" t="s">
        <v>416</v>
      </c>
      <c r="D577" s="31" t="s">
        <v>1460</v>
      </c>
      <c r="E577" s="31" t="s">
        <v>1473</v>
      </c>
      <c r="F577" s="31" t="s">
        <v>419</v>
      </c>
    </row>
    <row r="578" spans="2:6" x14ac:dyDescent="0.35">
      <c r="B578" s="31" t="s">
        <v>1371</v>
      </c>
      <c r="C578" s="31" t="s">
        <v>443</v>
      </c>
      <c r="D578" s="31" t="s">
        <v>1460</v>
      </c>
      <c r="E578" s="31" t="s">
        <v>1474</v>
      </c>
      <c r="F578" s="31" t="s">
        <v>446</v>
      </c>
    </row>
    <row r="579" spans="2:6" x14ac:dyDescent="0.35">
      <c r="B579" s="31" t="s">
        <v>1371</v>
      </c>
      <c r="C579" s="31" t="s">
        <v>135</v>
      </c>
      <c r="D579" s="31" t="s">
        <v>1460</v>
      </c>
      <c r="E579" s="31" t="s">
        <v>389</v>
      </c>
      <c r="F579" s="31" t="s">
        <v>138</v>
      </c>
    </row>
    <row r="580" spans="2:6" x14ac:dyDescent="0.35">
      <c r="B580" s="31" t="s">
        <v>1371</v>
      </c>
      <c r="C580" s="31" t="s">
        <v>745</v>
      </c>
      <c r="D580" s="31" t="s">
        <v>1460</v>
      </c>
      <c r="E580" s="31" t="s">
        <v>1475</v>
      </c>
      <c r="F580" s="31" t="s">
        <v>748</v>
      </c>
    </row>
    <row r="581" spans="2:6" x14ac:dyDescent="0.35">
      <c r="B581" s="31" t="s">
        <v>1371</v>
      </c>
      <c r="C581" s="31" t="s">
        <v>616</v>
      </c>
      <c r="D581" s="31" t="s">
        <v>1460</v>
      </c>
      <c r="E581" s="31" t="s">
        <v>389</v>
      </c>
      <c r="F581" s="31" t="s">
        <v>619</v>
      </c>
    </row>
    <row r="582" spans="2:6" x14ac:dyDescent="0.35">
      <c r="B582" s="31" t="s">
        <v>1371</v>
      </c>
      <c r="C582" s="31" t="s">
        <v>495</v>
      </c>
      <c r="D582" s="31" t="s">
        <v>1460</v>
      </c>
      <c r="E582" s="31" t="s">
        <v>1476</v>
      </c>
      <c r="F582" s="31" t="s">
        <v>498</v>
      </c>
    </row>
    <row r="583" spans="2:6" x14ac:dyDescent="0.35">
      <c r="B583" s="31" t="s">
        <v>1371</v>
      </c>
      <c r="C583" s="31" t="s">
        <v>436</v>
      </c>
      <c r="D583" s="31" t="s">
        <v>1460</v>
      </c>
      <c r="E583" s="31" t="s">
        <v>382</v>
      </c>
      <c r="F583" s="31" t="s">
        <v>409</v>
      </c>
    </row>
    <row r="584" spans="2:6" x14ac:dyDescent="0.35">
      <c r="B584" s="31" t="s">
        <v>1371</v>
      </c>
      <c r="C584" s="31" t="s">
        <v>267</v>
      </c>
      <c r="D584" s="31" t="s">
        <v>1460</v>
      </c>
      <c r="E584" s="31" t="s">
        <v>389</v>
      </c>
      <c r="F584" s="31" t="s">
        <v>112</v>
      </c>
    </row>
    <row r="585" spans="2:6" x14ac:dyDescent="0.35">
      <c r="B585" s="31" t="s">
        <v>1371</v>
      </c>
      <c r="C585" s="31" t="s">
        <v>157</v>
      </c>
      <c r="D585" s="31" t="s">
        <v>27</v>
      </c>
      <c r="E585" s="31" t="s">
        <v>1477</v>
      </c>
      <c r="F585" s="31" t="s">
        <v>167</v>
      </c>
    </row>
    <row r="586" spans="2:6" x14ac:dyDescent="0.35">
      <c r="B586" s="31" t="s">
        <v>1371</v>
      </c>
      <c r="C586" s="31" t="s">
        <v>517</v>
      </c>
      <c r="D586" s="31" t="s">
        <v>27</v>
      </c>
      <c r="E586" s="31" t="s">
        <v>1478</v>
      </c>
      <c r="F586" s="31" t="s">
        <v>521</v>
      </c>
    </row>
    <row r="587" spans="2:6" x14ac:dyDescent="0.35">
      <c r="B587" s="31" t="s">
        <v>1371</v>
      </c>
      <c r="C587" s="31" t="s">
        <v>49</v>
      </c>
      <c r="D587" s="31" t="s">
        <v>27</v>
      </c>
      <c r="E587" s="31" t="s">
        <v>1479</v>
      </c>
      <c r="F587" s="31" t="s">
        <v>62</v>
      </c>
    </row>
    <row r="588" spans="2:6" x14ac:dyDescent="0.35">
      <c r="B588" s="31" t="s">
        <v>1371</v>
      </c>
      <c r="C588" s="31" t="s">
        <v>553</v>
      </c>
      <c r="D588" s="31" t="s">
        <v>27</v>
      </c>
      <c r="E588" s="31" t="s">
        <v>1480</v>
      </c>
      <c r="F588" s="31" t="s">
        <v>560</v>
      </c>
    </row>
    <row r="589" spans="2:6" x14ac:dyDescent="0.35">
      <c r="B589" s="31" t="s">
        <v>1371</v>
      </c>
      <c r="C589" s="31" t="s">
        <v>327</v>
      </c>
      <c r="D589" s="31" t="s">
        <v>27</v>
      </c>
      <c r="E589" s="31" t="s">
        <v>1481</v>
      </c>
      <c r="F589" s="31" t="s">
        <v>336</v>
      </c>
    </row>
    <row r="590" spans="2:6" x14ac:dyDescent="0.35">
      <c r="B590" s="31" t="s">
        <v>1371</v>
      </c>
      <c r="C590" s="31" t="s">
        <v>663</v>
      </c>
      <c r="D590" s="31" t="s">
        <v>27</v>
      </c>
      <c r="E590" s="31" t="s">
        <v>1482</v>
      </c>
      <c r="F590" s="31" t="s">
        <v>672</v>
      </c>
    </row>
    <row r="591" spans="2:6" x14ac:dyDescent="0.35">
      <c r="B591" s="31" t="s">
        <v>1371</v>
      </c>
      <c r="C591" s="31" t="s">
        <v>300</v>
      </c>
      <c r="D591" s="31" t="s">
        <v>27</v>
      </c>
      <c r="E591" s="31" t="s">
        <v>1483</v>
      </c>
      <c r="F591" s="31" t="s">
        <v>311</v>
      </c>
    </row>
    <row r="592" spans="2:6" x14ac:dyDescent="0.35">
      <c r="B592" s="31" t="s">
        <v>1371</v>
      </c>
      <c r="C592" s="31" t="s">
        <v>259</v>
      </c>
      <c r="D592" s="31" t="s">
        <v>27</v>
      </c>
      <c r="E592" s="31" t="s">
        <v>1484</v>
      </c>
      <c r="F592" s="31" t="s">
        <v>256</v>
      </c>
    </row>
    <row r="593" spans="2:6" x14ac:dyDescent="0.35">
      <c r="B593" s="31" t="s">
        <v>1371</v>
      </c>
      <c r="C593" s="31" t="s">
        <v>216</v>
      </c>
      <c r="D593" s="31" t="s">
        <v>27</v>
      </c>
      <c r="E593" s="31" t="s">
        <v>1485</v>
      </c>
      <c r="F593" s="31" t="s">
        <v>224</v>
      </c>
    </row>
    <row r="594" spans="2:6" x14ac:dyDescent="0.35">
      <c r="B594" s="31" t="s">
        <v>1371</v>
      </c>
      <c r="C594" s="31" t="s">
        <v>180</v>
      </c>
      <c r="D594" s="31" t="s">
        <v>27</v>
      </c>
      <c r="E594" s="31" t="s">
        <v>1486</v>
      </c>
      <c r="F594" s="31" t="s">
        <v>186</v>
      </c>
    </row>
    <row r="595" spans="2:6" x14ac:dyDescent="0.35">
      <c r="B595" s="31" t="s">
        <v>1371</v>
      </c>
      <c r="C595" s="31" t="s">
        <v>745</v>
      </c>
      <c r="D595" s="31" t="s">
        <v>27</v>
      </c>
      <c r="E595" s="31" t="s">
        <v>1487</v>
      </c>
      <c r="F595" s="31" t="s">
        <v>754</v>
      </c>
    </row>
    <row r="596" spans="2:6" x14ac:dyDescent="0.35">
      <c r="B596" s="31" t="s">
        <v>1371</v>
      </c>
      <c r="C596" s="31" t="s">
        <v>699</v>
      </c>
      <c r="D596" s="31" t="s">
        <v>27</v>
      </c>
      <c r="E596" s="31" t="s">
        <v>1488</v>
      </c>
      <c r="F596" s="31" t="s">
        <v>706</v>
      </c>
    </row>
    <row r="597" spans="2:6" x14ac:dyDescent="0.35">
      <c r="B597" s="31" t="s">
        <v>1371</v>
      </c>
      <c r="C597" s="31" t="s">
        <v>267</v>
      </c>
      <c r="D597" s="31" t="s">
        <v>27</v>
      </c>
      <c r="E597" s="31" t="s">
        <v>1489</v>
      </c>
      <c r="F597" s="31" t="s">
        <v>274</v>
      </c>
    </row>
    <row r="598" spans="2:6" x14ac:dyDescent="0.35">
      <c r="B598" s="31" t="s">
        <v>1371</v>
      </c>
      <c r="C598" s="31" t="s">
        <v>425</v>
      </c>
      <c r="D598" s="31" t="s">
        <v>1490</v>
      </c>
      <c r="E598" s="31" t="s">
        <v>1373</v>
      </c>
      <c r="F598" s="31" t="s">
        <v>1491</v>
      </c>
    </row>
    <row r="599" spans="2:6" x14ac:dyDescent="0.35">
      <c r="B599" s="31" t="s">
        <v>1371</v>
      </c>
      <c r="C599" s="31" t="s">
        <v>300</v>
      </c>
      <c r="D599" s="31" t="s">
        <v>1490</v>
      </c>
      <c r="E599" s="31" t="s">
        <v>1373</v>
      </c>
      <c r="F599" s="31" t="s">
        <v>1421</v>
      </c>
    </row>
    <row r="600" spans="2:6" x14ac:dyDescent="0.35">
      <c r="B600" s="31" t="s">
        <v>1371</v>
      </c>
      <c r="C600" s="31" t="s">
        <v>216</v>
      </c>
      <c r="D600" s="31" t="s">
        <v>1490</v>
      </c>
      <c r="E600" s="31" t="s">
        <v>1373</v>
      </c>
      <c r="F600" s="31" t="s">
        <v>1492</v>
      </c>
    </row>
    <row r="601" spans="2:6" x14ac:dyDescent="0.35">
      <c r="B601" s="31" t="s">
        <v>1371</v>
      </c>
      <c r="C601" s="31" t="s">
        <v>144</v>
      </c>
      <c r="D601" s="31" t="s">
        <v>1490</v>
      </c>
      <c r="E601" s="31" t="s">
        <v>1373</v>
      </c>
      <c r="F601" s="31" t="s">
        <v>1493</v>
      </c>
    </row>
    <row r="602" spans="2:6" x14ac:dyDescent="0.35">
      <c r="B602" s="31" t="s">
        <v>1371</v>
      </c>
      <c r="C602" s="31" t="s">
        <v>416</v>
      </c>
      <c r="D602" s="31" t="s">
        <v>1490</v>
      </c>
      <c r="E602" s="31" t="s">
        <v>1373</v>
      </c>
      <c r="F602" s="31" t="s">
        <v>1494</v>
      </c>
    </row>
    <row r="603" spans="2:6" x14ac:dyDescent="0.35">
      <c r="B603" s="31" t="s">
        <v>1371</v>
      </c>
      <c r="C603" s="31" t="s">
        <v>443</v>
      </c>
      <c r="D603" s="31" t="s">
        <v>1490</v>
      </c>
      <c r="E603" s="31" t="s">
        <v>1373</v>
      </c>
      <c r="F603" s="31" t="s">
        <v>1495</v>
      </c>
    </row>
    <row r="604" spans="2:6" x14ac:dyDescent="0.35">
      <c r="B604" s="31" t="s">
        <v>1371</v>
      </c>
      <c r="C604" s="31" t="s">
        <v>135</v>
      </c>
      <c r="D604" s="31" t="s">
        <v>1490</v>
      </c>
      <c r="E604" s="31" t="s">
        <v>1373</v>
      </c>
      <c r="F604" s="31" t="s">
        <v>1493</v>
      </c>
    </row>
    <row r="605" spans="2:6" x14ac:dyDescent="0.35">
      <c r="B605" s="31" t="s">
        <v>1371</v>
      </c>
      <c r="C605" s="31" t="s">
        <v>745</v>
      </c>
      <c r="D605" s="31" t="s">
        <v>1490</v>
      </c>
      <c r="E605" s="31" t="s">
        <v>1373</v>
      </c>
      <c r="F605" s="31" t="s">
        <v>1265</v>
      </c>
    </row>
    <row r="606" spans="2:6" x14ac:dyDescent="0.35">
      <c r="B606" s="31" t="s">
        <v>1371</v>
      </c>
      <c r="C606" s="31" t="s">
        <v>157</v>
      </c>
      <c r="D606" s="31" t="s">
        <v>1496</v>
      </c>
      <c r="E606" s="31" t="s">
        <v>1373</v>
      </c>
      <c r="F606" s="31" t="s">
        <v>1069</v>
      </c>
    </row>
    <row r="607" spans="2:6" x14ac:dyDescent="0.35">
      <c r="B607" s="31" t="s">
        <v>1371</v>
      </c>
      <c r="C607" s="31" t="s">
        <v>718</v>
      </c>
      <c r="D607" s="31" t="s">
        <v>1496</v>
      </c>
      <c r="E607" s="31" t="s">
        <v>1373</v>
      </c>
      <c r="F607" s="31" t="s">
        <v>725</v>
      </c>
    </row>
    <row r="608" spans="2:6" x14ac:dyDescent="0.35">
      <c r="B608" s="31" t="s">
        <v>1371</v>
      </c>
      <c r="C608" s="31" t="s">
        <v>49</v>
      </c>
      <c r="D608" s="31" t="s">
        <v>1496</v>
      </c>
      <c r="E608" s="31" t="s">
        <v>1373</v>
      </c>
      <c r="F608" s="31" t="s">
        <v>1035</v>
      </c>
    </row>
    <row r="609" spans="2:6" x14ac:dyDescent="0.35">
      <c r="B609" s="31" t="s">
        <v>1371</v>
      </c>
      <c r="C609" s="31" t="s">
        <v>425</v>
      </c>
      <c r="D609" s="31" t="s">
        <v>1496</v>
      </c>
      <c r="E609" s="31" t="s">
        <v>1373</v>
      </c>
      <c r="F609" s="31" t="s">
        <v>434</v>
      </c>
    </row>
    <row r="610" spans="2:6" x14ac:dyDescent="0.35">
      <c r="B610" s="31" t="s">
        <v>1371</v>
      </c>
      <c r="C610" s="31" t="s">
        <v>553</v>
      </c>
      <c r="D610" s="31" t="s">
        <v>1496</v>
      </c>
      <c r="E610" s="31" t="s">
        <v>1373</v>
      </c>
      <c r="F610" s="31" t="s">
        <v>562</v>
      </c>
    </row>
    <row r="611" spans="2:6" x14ac:dyDescent="0.35">
      <c r="B611" s="31" t="s">
        <v>1371</v>
      </c>
      <c r="C611" s="31" t="s">
        <v>708</v>
      </c>
      <c r="D611" s="31" t="s">
        <v>1496</v>
      </c>
      <c r="E611" s="31" t="s">
        <v>1373</v>
      </c>
      <c r="F611" s="31" t="s">
        <v>1256</v>
      </c>
    </row>
    <row r="612" spans="2:6" x14ac:dyDescent="0.35">
      <c r="B612" s="31" t="s">
        <v>1371</v>
      </c>
      <c r="C612" s="31" t="s">
        <v>144</v>
      </c>
      <c r="D612" s="31" t="s">
        <v>1496</v>
      </c>
      <c r="E612" s="31" t="s">
        <v>1373</v>
      </c>
      <c r="F612" s="31" t="s">
        <v>155</v>
      </c>
    </row>
    <row r="613" spans="2:6" x14ac:dyDescent="0.35">
      <c r="B613" s="31" t="s">
        <v>1371</v>
      </c>
      <c r="C613" s="31" t="s">
        <v>727</v>
      </c>
      <c r="D613" s="31" t="s">
        <v>1496</v>
      </c>
      <c r="E613" s="31" t="s">
        <v>1373</v>
      </c>
      <c r="F613" s="31" t="s">
        <v>733</v>
      </c>
    </row>
    <row r="614" spans="2:6" x14ac:dyDescent="0.35">
      <c r="B614" s="31" t="s">
        <v>1371</v>
      </c>
      <c r="C614" s="31" t="s">
        <v>571</v>
      </c>
      <c r="D614" s="31" t="s">
        <v>1496</v>
      </c>
      <c r="E614" s="31" t="s">
        <v>1373</v>
      </c>
      <c r="F614" s="31" t="s">
        <v>580</v>
      </c>
    </row>
    <row r="615" spans="2:6" x14ac:dyDescent="0.35">
      <c r="B615" s="31" t="s">
        <v>1371</v>
      </c>
      <c r="C615" s="31" t="s">
        <v>157</v>
      </c>
      <c r="D615" s="31" t="s">
        <v>1497</v>
      </c>
      <c r="E615" s="31" t="s">
        <v>1373</v>
      </c>
      <c r="F615" s="31" t="s">
        <v>86</v>
      </c>
    </row>
    <row r="616" spans="2:6" x14ac:dyDescent="0.35">
      <c r="B616" s="31" t="s">
        <v>1371</v>
      </c>
      <c r="C616" s="31" t="s">
        <v>405</v>
      </c>
      <c r="D616" s="31" t="s">
        <v>1497</v>
      </c>
      <c r="E616" s="31" t="s">
        <v>1373</v>
      </c>
      <c r="F616" s="31" t="s">
        <v>412</v>
      </c>
    </row>
    <row r="617" spans="2:6" x14ac:dyDescent="0.35">
      <c r="B617" s="31" t="s">
        <v>1371</v>
      </c>
      <c r="C617" s="31" t="s">
        <v>65</v>
      </c>
      <c r="D617" s="31" t="s">
        <v>1497</v>
      </c>
      <c r="E617" s="31" t="s">
        <v>1373</v>
      </c>
      <c r="F617" s="31" t="s">
        <v>73</v>
      </c>
    </row>
    <row r="618" spans="2:6" x14ac:dyDescent="0.35">
      <c r="B618" s="31" t="s">
        <v>1371</v>
      </c>
      <c r="C618" s="31" t="s">
        <v>93</v>
      </c>
      <c r="D618" s="31" t="s">
        <v>1497</v>
      </c>
      <c r="E618" s="31" t="s">
        <v>1373</v>
      </c>
      <c r="F618" s="31" t="s">
        <v>100</v>
      </c>
    </row>
    <row r="619" spans="2:6" x14ac:dyDescent="0.35">
      <c r="B619" s="31" t="s">
        <v>1371</v>
      </c>
      <c r="C619" s="31" t="s">
        <v>425</v>
      </c>
      <c r="D619" s="31" t="s">
        <v>1497</v>
      </c>
      <c r="E619" s="31" t="s">
        <v>1373</v>
      </c>
      <c r="F619" s="31" t="s">
        <v>430</v>
      </c>
    </row>
    <row r="620" spans="2:6" x14ac:dyDescent="0.35">
      <c r="B620" s="31" t="s">
        <v>1371</v>
      </c>
      <c r="C620" s="31" t="s">
        <v>773</v>
      </c>
      <c r="D620" s="31" t="s">
        <v>1497</v>
      </c>
      <c r="E620" s="31" t="s">
        <v>1373</v>
      </c>
      <c r="F620" s="31" t="s">
        <v>86</v>
      </c>
    </row>
    <row r="621" spans="2:6" x14ac:dyDescent="0.35">
      <c r="B621" s="31" t="s">
        <v>1371</v>
      </c>
      <c r="C621" s="31" t="s">
        <v>553</v>
      </c>
      <c r="D621" s="31" t="s">
        <v>1497</v>
      </c>
      <c r="E621" s="31" t="s">
        <v>1373</v>
      </c>
      <c r="F621" s="31" t="s">
        <v>557</v>
      </c>
    </row>
    <row r="622" spans="2:6" x14ac:dyDescent="0.35">
      <c r="B622" s="31" t="s">
        <v>1371</v>
      </c>
      <c r="C622" s="31" t="s">
        <v>564</v>
      </c>
      <c r="D622" s="31" t="s">
        <v>1497</v>
      </c>
      <c r="E622" s="31" t="s">
        <v>1373</v>
      </c>
      <c r="F622" s="31" t="s">
        <v>557</v>
      </c>
    </row>
    <row r="623" spans="2:6" x14ac:dyDescent="0.35">
      <c r="B623" s="31" t="s">
        <v>1371</v>
      </c>
      <c r="C623" s="31" t="s">
        <v>79</v>
      </c>
      <c r="D623" s="31" t="s">
        <v>1497</v>
      </c>
      <c r="E623" s="31" t="s">
        <v>1373</v>
      </c>
      <c r="F623" s="31" t="s">
        <v>86</v>
      </c>
    </row>
    <row r="624" spans="2:6" x14ac:dyDescent="0.35">
      <c r="B624" s="31" t="s">
        <v>1371</v>
      </c>
      <c r="C624" s="31" t="s">
        <v>504</v>
      </c>
      <c r="D624" s="31" t="s">
        <v>1497</v>
      </c>
      <c r="E624" s="31" t="s">
        <v>1373</v>
      </c>
      <c r="F624" s="31" t="s">
        <v>43</v>
      </c>
    </row>
    <row r="625" spans="2:6" x14ac:dyDescent="0.35">
      <c r="B625" s="31" t="s">
        <v>1371</v>
      </c>
      <c r="C625" s="31" t="s">
        <v>866</v>
      </c>
      <c r="D625" s="31" t="s">
        <v>1497</v>
      </c>
      <c r="E625" s="31" t="s">
        <v>1373</v>
      </c>
      <c r="F625" s="31" t="s">
        <v>43</v>
      </c>
    </row>
    <row r="626" spans="2:6" x14ac:dyDescent="0.35">
      <c r="B626" s="31" t="s">
        <v>1371</v>
      </c>
      <c r="C626" s="31" t="s">
        <v>216</v>
      </c>
      <c r="D626" s="31" t="s">
        <v>1497</v>
      </c>
      <c r="E626" s="31" t="s">
        <v>1373</v>
      </c>
      <c r="F626" s="31" t="s">
        <v>86</v>
      </c>
    </row>
    <row r="627" spans="2:6" x14ac:dyDescent="0.35">
      <c r="B627" s="31" t="s">
        <v>1371</v>
      </c>
      <c r="C627" s="31" t="s">
        <v>236</v>
      </c>
      <c r="D627" s="31" t="s">
        <v>1497</v>
      </c>
      <c r="E627" s="31" t="s">
        <v>1373</v>
      </c>
      <c r="F627" s="31" t="s">
        <v>86</v>
      </c>
    </row>
    <row r="628" spans="2:6" x14ac:dyDescent="0.35">
      <c r="B628" s="31" t="s">
        <v>1371</v>
      </c>
      <c r="C628" s="31" t="s">
        <v>727</v>
      </c>
      <c r="D628" s="31" t="s">
        <v>1497</v>
      </c>
      <c r="E628" s="31" t="s">
        <v>1373</v>
      </c>
      <c r="F628" s="31" t="s">
        <v>731</v>
      </c>
    </row>
    <row r="629" spans="2:6" x14ac:dyDescent="0.35">
      <c r="B629" s="31" t="s">
        <v>1371</v>
      </c>
      <c r="C629" s="31" t="s">
        <v>906</v>
      </c>
      <c r="D629" s="31" t="s">
        <v>1497</v>
      </c>
      <c r="E629" s="31" t="s">
        <v>1373</v>
      </c>
      <c r="F629" s="31" t="s">
        <v>912</v>
      </c>
    </row>
    <row r="630" spans="2:6" x14ac:dyDescent="0.35">
      <c r="B630" s="31" t="s">
        <v>1371</v>
      </c>
      <c r="C630" s="31" t="s">
        <v>287</v>
      </c>
      <c r="D630" s="31" t="s">
        <v>1497</v>
      </c>
      <c r="E630" s="31" t="s">
        <v>1373</v>
      </c>
      <c r="F630" s="31" t="s">
        <v>1124</v>
      </c>
    </row>
    <row r="631" spans="2:6" x14ac:dyDescent="0.35">
      <c r="B631" s="31" t="s">
        <v>1371</v>
      </c>
      <c r="C631" s="31" t="s">
        <v>226</v>
      </c>
      <c r="D631" s="31" t="s">
        <v>1497</v>
      </c>
      <c r="E631" s="31" t="s">
        <v>1373</v>
      </c>
      <c r="F631" s="31" t="s">
        <v>232</v>
      </c>
    </row>
    <row r="632" spans="2:6" x14ac:dyDescent="0.35">
      <c r="B632" s="31" t="s">
        <v>1371</v>
      </c>
      <c r="C632" s="31" t="s">
        <v>277</v>
      </c>
      <c r="D632" s="31" t="s">
        <v>1497</v>
      </c>
      <c r="E632" s="31" t="s">
        <v>1373</v>
      </c>
      <c r="F632" s="31" t="s">
        <v>86</v>
      </c>
    </row>
    <row r="633" spans="2:6" x14ac:dyDescent="0.35">
      <c r="B633" s="31" t="s">
        <v>1371</v>
      </c>
      <c r="C633" s="31" t="s">
        <v>782</v>
      </c>
      <c r="D633" s="31" t="s">
        <v>1497</v>
      </c>
      <c r="E633" s="31" t="s">
        <v>1373</v>
      </c>
      <c r="F633" s="31" t="s">
        <v>787</v>
      </c>
    </row>
    <row r="634" spans="2:6" x14ac:dyDescent="0.35">
      <c r="B634" s="31" t="s">
        <v>1371</v>
      </c>
      <c r="C634" s="31" t="s">
        <v>416</v>
      </c>
      <c r="D634" s="31" t="s">
        <v>1497</v>
      </c>
      <c r="E634" s="31" t="s">
        <v>1373</v>
      </c>
      <c r="F634" s="31" t="s">
        <v>86</v>
      </c>
    </row>
    <row r="635" spans="2:6" x14ac:dyDescent="0.35">
      <c r="B635" s="31" t="s">
        <v>1371</v>
      </c>
      <c r="C635" s="31" t="s">
        <v>571</v>
      </c>
      <c r="D635" s="31" t="s">
        <v>1497</v>
      </c>
      <c r="E635" s="31" t="s">
        <v>1373</v>
      </c>
      <c r="F635" s="31" t="s">
        <v>430</v>
      </c>
    </row>
    <row r="636" spans="2:6" x14ac:dyDescent="0.35">
      <c r="B636" s="31" t="s">
        <v>1371</v>
      </c>
      <c r="C636" s="31" t="s">
        <v>745</v>
      </c>
      <c r="D636" s="31" t="s">
        <v>1497</v>
      </c>
      <c r="E636" s="31" t="s">
        <v>1373</v>
      </c>
      <c r="F636" s="31" t="s">
        <v>751</v>
      </c>
    </row>
    <row r="637" spans="2:6" x14ac:dyDescent="0.35">
      <c r="B637" s="31" t="s">
        <v>1371</v>
      </c>
      <c r="C637" s="31" t="s">
        <v>616</v>
      </c>
      <c r="D637" s="31" t="s">
        <v>1497</v>
      </c>
      <c r="E637" s="31" t="s">
        <v>1373</v>
      </c>
      <c r="F637" s="31" t="s">
        <v>86</v>
      </c>
    </row>
    <row r="638" spans="2:6" x14ac:dyDescent="0.35">
      <c r="B638" s="31" t="s">
        <v>1371</v>
      </c>
      <c r="C638" s="31" t="s">
        <v>699</v>
      </c>
      <c r="D638" s="31" t="s">
        <v>1497</v>
      </c>
      <c r="E638" s="31" t="s">
        <v>1373</v>
      </c>
      <c r="F638" s="31" t="s">
        <v>86</v>
      </c>
    </row>
    <row r="639" spans="2:6" x14ac:dyDescent="0.35">
      <c r="B639" s="31" t="s">
        <v>1371</v>
      </c>
      <c r="C639" s="31" t="s">
        <v>436</v>
      </c>
      <c r="D639" s="31" t="s">
        <v>1497</v>
      </c>
      <c r="E639" s="31" t="s">
        <v>1373</v>
      </c>
      <c r="F639" s="31" t="s">
        <v>439</v>
      </c>
    </row>
    <row r="640" spans="2:6" x14ac:dyDescent="0.35">
      <c r="B640" s="31" t="s">
        <v>1371</v>
      </c>
      <c r="C640" s="31" t="s">
        <v>157</v>
      </c>
      <c r="D640" s="31" t="s">
        <v>1498</v>
      </c>
      <c r="E640" s="31" t="s">
        <v>1373</v>
      </c>
      <c r="F640" s="31" t="s">
        <v>1064</v>
      </c>
    </row>
    <row r="641" spans="2:6" x14ac:dyDescent="0.35">
      <c r="B641" s="31" t="s">
        <v>1371</v>
      </c>
      <c r="C641" s="31" t="s">
        <v>405</v>
      </c>
      <c r="D641" s="31" t="s">
        <v>1498</v>
      </c>
      <c r="E641" s="31" t="s">
        <v>1373</v>
      </c>
      <c r="F641" s="31" t="s">
        <v>408</v>
      </c>
    </row>
    <row r="642" spans="2:6" x14ac:dyDescent="0.35">
      <c r="B642" s="31" t="s">
        <v>1371</v>
      </c>
      <c r="C642" s="31" t="s">
        <v>595</v>
      </c>
      <c r="D642" s="31" t="s">
        <v>1498</v>
      </c>
      <c r="E642" s="31" t="s">
        <v>1373</v>
      </c>
      <c r="F642" s="31" t="s">
        <v>598</v>
      </c>
    </row>
    <row r="643" spans="2:6" x14ac:dyDescent="0.35">
      <c r="B643" s="31" t="s">
        <v>1371</v>
      </c>
      <c r="C643" s="31" t="s">
        <v>718</v>
      </c>
      <c r="D643" s="31" t="s">
        <v>1498</v>
      </c>
      <c r="E643" s="31" t="s">
        <v>1373</v>
      </c>
      <c r="F643" s="31" t="s">
        <v>720</v>
      </c>
    </row>
    <row r="644" spans="2:6" x14ac:dyDescent="0.35">
      <c r="B644" s="31" t="s">
        <v>1371</v>
      </c>
      <c r="C644" s="31" t="s">
        <v>49</v>
      </c>
      <c r="D644" s="31" t="s">
        <v>1498</v>
      </c>
      <c r="E644" s="31" t="s">
        <v>1373</v>
      </c>
      <c r="F644" s="31" t="s">
        <v>54</v>
      </c>
    </row>
    <row r="645" spans="2:6" x14ac:dyDescent="0.35">
      <c r="B645" s="31" t="s">
        <v>1371</v>
      </c>
      <c r="C645" s="31" t="s">
        <v>486</v>
      </c>
      <c r="D645" s="31" t="s">
        <v>1498</v>
      </c>
      <c r="E645" s="31" t="s">
        <v>1373</v>
      </c>
      <c r="F645" s="31" t="s">
        <v>489</v>
      </c>
    </row>
    <row r="646" spans="2:6" x14ac:dyDescent="0.35">
      <c r="B646" s="31" t="s">
        <v>1371</v>
      </c>
      <c r="C646" s="31" t="s">
        <v>529</v>
      </c>
      <c r="D646" s="31" t="s">
        <v>1498</v>
      </c>
      <c r="E646" s="31" t="s">
        <v>1373</v>
      </c>
      <c r="F646" s="31" t="s">
        <v>531</v>
      </c>
    </row>
    <row r="647" spans="2:6" x14ac:dyDescent="0.35">
      <c r="B647" s="31" t="s">
        <v>1371</v>
      </c>
      <c r="C647" s="31" t="s">
        <v>379</v>
      </c>
      <c r="D647" s="31" t="s">
        <v>1498</v>
      </c>
      <c r="E647" s="31" t="s">
        <v>1373</v>
      </c>
      <c r="F647" s="31" t="s">
        <v>381</v>
      </c>
    </row>
    <row r="648" spans="2:6" x14ac:dyDescent="0.35">
      <c r="B648" s="31" t="s">
        <v>1371</v>
      </c>
      <c r="C648" s="31" t="s">
        <v>93</v>
      </c>
      <c r="D648" s="31" t="s">
        <v>1498</v>
      </c>
      <c r="E648" s="31" t="s">
        <v>1373</v>
      </c>
      <c r="F648" s="31" t="s">
        <v>96</v>
      </c>
    </row>
    <row r="649" spans="2:6" x14ac:dyDescent="0.35">
      <c r="B649" s="31" t="s">
        <v>1371</v>
      </c>
      <c r="C649" s="31" t="s">
        <v>398</v>
      </c>
      <c r="D649" s="31" t="s">
        <v>1498</v>
      </c>
      <c r="E649" s="31" t="s">
        <v>1373</v>
      </c>
      <c r="F649" s="31" t="s">
        <v>400</v>
      </c>
    </row>
    <row r="650" spans="2:6" x14ac:dyDescent="0.35">
      <c r="B650" s="31" t="s">
        <v>1371</v>
      </c>
      <c r="C650" s="31" t="s">
        <v>425</v>
      </c>
      <c r="D650" s="31" t="s">
        <v>1498</v>
      </c>
      <c r="E650" s="31" t="s">
        <v>1373</v>
      </c>
      <c r="F650" s="31" t="s">
        <v>427</v>
      </c>
    </row>
    <row r="651" spans="2:6" x14ac:dyDescent="0.35">
      <c r="B651" s="31" t="s">
        <v>1371</v>
      </c>
      <c r="C651" s="31" t="s">
        <v>553</v>
      </c>
      <c r="D651" s="31" t="s">
        <v>1498</v>
      </c>
      <c r="E651" s="31" t="s">
        <v>1373</v>
      </c>
      <c r="F651" s="31" t="s">
        <v>1206</v>
      </c>
    </row>
    <row r="652" spans="2:6" x14ac:dyDescent="0.35">
      <c r="B652" s="31" t="s">
        <v>1371</v>
      </c>
      <c r="C652" s="31" t="s">
        <v>79</v>
      </c>
      <c r="D652" s="31" t="s">
        <v>1498</v>
      </c>
      <c r="E652" s="31" t="s">
        <v>1373</v>
      </c>
      <c r="F652" s="31" t="s">
        <v>82</v>
      </c>
    </row>
    <row r="653" spans="2:6" x14ac:dyDescent="0.35">
      <c r="B653" s="31" t="s">
        <v>1371</v>
      </c>
      <c r="C653" s="31" t="s">
        <v>708</v>
      </c>
      <c r="D653" s="31" t="s">
        <v>1498</v>
      </c>
      <c r="E653" s="31" t="s">
        <v>1373</v>
      </c>
      <c r="F653" s="31" t="s">
        <v>1253</v>
      </c>
    </row>
    <row r="654" spans="2:6" x14ac:dyDescent="0.35">
      <c r="B654" s="31" t="s">
        <v>1371</v>
      </c>
      <c r="C654" s="31" t="s">
        <v>682</v>
      </c>
      <c r="D654" s="31" t="s">
        <v>1498</v>
      </c>
      <c r="E654" s="31" t="s">
        <v>1373</v>
      </c>
      <c r="F654" s="31" t="s">
        <v>684</v>
      </c>
    </row>
    <row r="655" spans="2:6" x14ac:dyDescent="0.35">
      <c r="B655" s="31" t="s">
        <v>1371</v>
      </c>
      <c r="C655" s="31" t="s">
        <v>327</v>
      </c>
      <c r="D655" s="31" t="s">
        <v>1498</v>
      </c>
      <c r="E655" s="31" t="s">
        <v>1373</v>
      </c>
      <c r="F655" s="31" t="s">
        <v>609</v>
      </c>
    </row>
    <row r="656" spans="2:6" x14ac:dyDescent="0.35">
      <c r="B656" s="31" t="s">
        <v>1371</v>
      </c>
      <c r="C656" s="31" t="s">
        <v>387</v>
      </c>
      <c r="D656" s="31" t="s">
        <v>1498</v>
      </c>
      <c r="E656" s="31" t="s">
        <v>1373</v>
      </c>
      <c r="F656" s="31" t="s">
        <v>390</v>
      </c>
    </row>
    <row r="657" spans="2:6" x14ac:dyDescent="0.35">
      <c r="B657" s="31" t="s">
        <v>1371</v>
      </c>
      <c r="C657" s="31" t="s">
        <v>314</v>
      </c>
      <c r="D657" s="31" t="s">
        <v>1498</v>
      </c>
      <c r="E657" s="31" t="s">
        <v>1373</v>
      </c>
      <c r="F657" s="31" t="s">
        <v>381</v>
      </c>
    </row>
    <row r="658" spans="2:6" x14ac:dyDescent="0.35">
      <c r="B658" s="31" t="s">
        <v>1371</v>
      </c>
      <c r="C658" s="31" t="s">
        <v>536</v>
      </c>
      <c r="D658" s="31" t="s">
        <v>1498</v>
      </c>
      <c r="E658" s="31" t="s">
        <v>1373</v>
      </c>
      <c r="F658" s="31" t="s">
        <v>538</v>
      </c>
    </row>
    <row r="659" spans="2:6" x14ac:dyDescent="0.35">
      <c r="B659" s="31" t="s">
        <v>1371</v>
      </c>
      <c r="C659" s="31" t="s">
        <v>122</v>
      </c>
      <c r="D659" s="31" t="s">
        <v>1498</v>
      </c>
      <c r="E659" s="31" t="s">
        <v>1373</v>
      </c>
      <c r="F659" s="31" t="s">
        <v>126</v>
      </c>
    </row>
    <row r="660" spans="2:6" x14ac:dyDescent="0.35">
      <c r="B660" s="31" t="s">
        <v>1371</v>
      </c>
      <c r="C660" s="31" t="s">
        <v>663</v>
      </c>
      <c r="D660" s="31" t="s">
        <v>1498</v>
      </c>
      <c r="E660" s="31" t="s">
        <v>1373</v>
      </c>
      <c r="F660" s="31" t="s">
        <v>665</v>
      </c>
    </row>
    <row r="661" spans="2:6" x14ac:dyDescent="0.35">
      <c r="B661" s="31" t="s">
        <v>1371</v>
      </c>
      <c r="C661" s="31" t="s">
        <v>624</v>
      </c>
      <c r="D661" s="31" t="s">
        <v>1498</v>
      </c>
      <c r="E661" s="31" t="s">
        <v>1373</v>
      </c>
      <c r="F661" s="31" t="s">
        <v>1224</v>
      </c>
    </row>
    <row r="662" spans="2:6" x14ac:dyDescent="0.35">
      <c r="B662" s="31" t="s">
        <v>1371</v>
      </c>
      <c r="C662" s="31" t="s">
        <v>606</v>
      </c>
      <c r="D662" s="31" t="s">
        <v>1498</v>
      </c>
      <c r="E662" s="31" t="s">
        <v>1373</v>
      </c>
      <c r="F662" s="31" t="s">
        <v>609</v>
      </c>
    </row>
    <row r="663" spans="2:6" x14ac:dyDescent="0.35">
      <c r="B663" s="31" t="s">
        <v>1371</v>
      </c>
      <c r="C663" s="31" t="s">
        <v>171</v>
      </c>
      <c r="D663" s="31" t="s">
        <v>1498</v>
      </c>
      <c r="E663" s="31" t="s">
        <v>1373</v>
      </c>
      <c r="F663" s="31" t="s">
        <v>174</v>
      </c>
    </row>
    <row r="664" spans="2:6" x14ac:dyDescent="0.35">
      <c r="B664" s="31" t="s">
        <v>1371</v>
      </c>
      <c r="C664" s="31" t="s">
        <v>866</v>
      </c>
      <c r="D664" s="31" t="s">
        <v>1498</v>
      </c>
      <c r="E664" s="31" t="s">
        <v>1373</v>
      </c>
      <c r="F664" s="31" t="s">
        <v>868</v>
      </c>
    </row>
    <row r="665" spans="2:6" x14ac:dyDescent="0.35">
      <c r="B665" s="31" t="s">
        <v>1371</v>
      </c>
      <c r="C665" s="31" t="s">
        <v>632</v>
      </c>
      <c r="D665" s="31" t="s">
        <v>1498</v>
      </c>
      <c r="E665" s="31" t="s">
        <v>1373</v>
      </c>
      <c r="F665" s="31" t="s">
        <v>635</v>
      </c>
    </row>
    <row r="666" spans="2:6" x14ac:dyDescent="0.35">
      <c r="B666" s="31" t="s">
        <v>1371</v>
      </c>
      <c r="C666" s="31" t="s">
        <v>458</v>
      </c>
      <c r="D666" s="31" t="s">
        <v>1498</v>
      </c>
      <c r="E666" s="31" t="s">
        <v>1373</v>
      </c>
      <c r="F666" s="31" t="s">
        <v>461</v>
      </c>
    </row>
    <row r="667" spans="2:6" x14ac:dyDescent="0.35">
      <c r="B667" s="31" t="s">
        <v>1371</v>
      </c>
      <c r="C667" s="31" t="s">
        <v>259</v>
      </c>
      <c r="D667" s="31" t="s">
        <v>1498</v>
      </c>
      <c r="E667" s="31" t="s">
        <v>1373</v>
      </c>
      <c r="F667" s="31" t="s">
        <v>262</v>
      </c>
    </row>
    <row r="668" spans="2:6" x14ac:dyDescent="0.35">
      <c r="B668" s="31" t="s">
        <v>1371</v>
      </c>
      <c r="C668" s="31" t="s">
        <v>216</v>
      </c>
      <c r="D668" s="31" t="s">
        <v>1498</v>
      </c>
      <c r="E668" s="31" t="s">
        <v>1373</v>
      </c>
      <c r="F668" s="31" t="s">
        <v>1090</v>
      </c>
    </row>
    <row r="669" spans="2:6" x14ac:dyDescent="0.35">
      <c r="B669" s="31" t="s">
        <v>1371</v>
      </c>
      <c r="C669" s="31" t="s">
        <v>107</v>
      </c>
      <c r="D669" s="31" t="s">
        <v>1498</v>
      </c>
      <c r="E669" s="31" t="s">
        <v>1373</v>
      </c>
      <c r="F669" s="31" t="s">
        <v>1052</v>
      </c>
    </row>
    <row r="670" spans="2:6" x14ac:dyDescent="0.35">
      <c r="B670" s="31" t="s">
        <v>1371</v>
      </c>
      <c r="C670" s="31" t="s">
        <v>757</v>
      </c>
      <c r="D670" s="31" t="s">
        <v>1498</v>
      </c>
      <c r="E670" s="31" t="s">
        <v>1373</v>
      </c>
      <c r="F670" s="31" t="s">
        <v>759</v>
      </c>
    </row>
    <row r="671" spans="2:6" x14ac:dyDescent="0.35">
      <c r="B671" s="31" t="s">
        <v>1371</v>
      </c>
      <c r="C671" s="31" t="s">
        <v>144</v>
      </c>
      <c r="D671" s="31" t="s">
        <v>1498</v>
      </c>
      <c r="E671" s="31" t="s">
        <v>1373</v>
      </c>
      <c r="F671" s="31" t="s">
        <v>148</v>
      </c>
    </row>
    <row r="672" spans="2:6" x14ac:dyDescent="0.35">
      <c r="B672" s="31" t="s">
        <v>1371</v>
      </c>
      <c r="C672" s="31" t="s">
        <v>766</v>
      </c>
      <c r="D672" s="31" t="s">
        <v>1498</v>
      </c>
      <c r="E672" s="31" t="s">
        <v>1373</v>
      </c>
      <c r="F672" s="31" t="s">
        <v>598</v>
      </c>
    </row>
    <row r="673" spans="2:6" x14ac:dyDescent="0.35">
      <c r="B673" s="31" t="s">
        <v>1371</v>
      </c>
      <c r="C673" s="31" t="s">
        <v>478</v>
      </c>
      <c r="D673" s="31" t="s">
        <v>1498</v>
      </c>
      <c r="E673" s="31" t="s">
        <v>1373</v>
      </c>
      <c r="F673" s="31" t="s">
        <v>481</v>
      </c>
    </row>
    <row r="674" spans="2:6" x14ac:dyDescent="0.35">
      <c r="B674" s="31" t="s">
        <v>1371</v>
      </c>
      <c r="C674" s="31" t="s">
        <v>236</v>
      </c>
      <c r="D674" s="31" t="s">
        <v>1498</v>
      </c>
      <c r="E674" s="31" t="s">
        <v>1373</v>
      </c>
      <c r="F674" s="31" t="s">
        <v>1101</v>
      </c>
    </row>
    <row r="675" spans="2:6" x14ac:dyDescent="0.35">
      <c r="B675" s="31" t="s">
        <v>1371</v>
      </c>
      <c r="C675" s="31" t="s">
        <v>510</v>
      </c>
      <c r="D675" s="31" t="s">
        <v>1498</v>
      </c>
      <c r="E675" s="31" t="s">
        <v>1373</v>
      </c>
      <c r="F675" s="31" t="s">
        <v>512</v>
      </c>
    </row>
    <row r="676" spans="2:6" x14ac:dyDescent="0.35">
      <c r="B676" s="31" t="s">
        <v>1371</v>
      </c>
      <c r="C676" s="31" t="s">
        <v>339</v>
      </c>
      <c r="D676" s="31" t="s">
        <v>1498</v>
      </c>
      <c r="E676" s="31" t="s">
        <v>1373</v>
      </c>
      <c r="F676" s="31" t="s">
        <v>342</v>
      </c>
    </row>
    <row r="677" spans="2:6" x14ac:dyDescent="0.35">
      <c r="B677" s="31" t="s">
        <v>1371</v>
      </c>
      <c r="C677" s="31" t="s">
        <v>906</v>
      </c>
      <c r="D677" s="31" t="s">
        <v>1498</v>
      </c>
      <c r="E677" s="31" t="s">
        <v>1373</v>
      </c>
      <c r="F677" s="31" t="s">
        <v>1336</v>
      </c>
    </row>
    <row r="678" spans="2:6" x14ac:dyDescent="0.35">
      <c r="B678" s="31" t="s">
        <v>1371</v>
      </c>
      <c r="C678" s="31" t="s">
        <v>287</v>
      </c>
      <c r="D678" s="31" t="s">
        <v>1498</v>
      </c>
      <c r="E678" s="31" t="s">
        <v>1373</v>
      </c>
      <c r="F678" s="31" t="s">
        <v>290</v>
      </c>
    </row>
    <row r="679" spans="2:6" x14ac:dyDescent="0.35">
      <c r="B679" s="31" t="s">
        <v>1371</v>
      </c>
      <c r="C679" s="31" t="s">
        <v>226</v>
      </c>
      <c r="D679" s="31" t="s">
        <v>1498</v>
      </c>
      <c r="E679" s="31" t="s">
        <v>1373</v>
      </c>
      <c r="F679" s="31" t="s">
        <v>228</v>
      </c>
    </row>
    <row r="680" spans="2:6" x14ac:dyDescent="0.35">
      <c r="B680" s="31" t="s">
        <v>1371</v>
      </c>
      <c r="C680" s="31" t="s">
        <v>277</v>
      </c>
      <c r="D680" s="31" t="s">
        <v>1498</v>
      </c>
      <c r="E680" s="31" t="s">
        <v>1373</v>
      </c>
      <c r="F680" s="31" t="s">
        <v>1052</v>
      </c>
    </row>
    <row r="681" spans="2:6" x14ac:dyDescent="0.35">
      <c r="B681" s="31" t="s">
        <v>1371</v>
      </c>
      <c r="C681" s="31" t="s">
        <v>351</v>
      </c>
      <c r="D681" s="31" t="s">
        <v>1498</v>
      </c>
      <c r="E681" s="31" t="s">
        <v>1373</v>
      </c>
      <c r="F681" s="31" t="s">
        <v>381</v>
      </c>
    </row>
    <row r="682" spans="2:6" x14ac:dyDescent="0.35">
      <c r="B682" s="31" t="s">
        <v>1371</v>
      </c>
      <c r="C682" s="31" t="s">
        <v>782</v>
      </c>
      <c r="D682" s="31" t="s">
        <v>1498</v>
      </c>
      <c r="E682" s="31" t="s">
        <v>1373</v>
      </c>
      <c r="F682" s="31" t="s">
        <v>784</v>
      </c>
    </row>
    <row r="683" spans="2:6" x14ac:dyDescent="0.35">
      <c r="B683" s="31" t="s">
        <v>1371</v>
      </c>
      <c r="C683" s="31" t="s">
        <v>416</v>
      </c>
      <c r="D683" s="31" t="s">
        <v>1498</v>
      </c>
      <c r="E683" s="31" t="s">
        <v>1373</v>
      </c>
      <c r="F683" s="31" t="s">
        <v>418</v>
      </c>
    </row>
    <row r="684" spans="2:6" x14ac:dyDescent="0.35">
      <c r="B684" s="31" t="s">
        <v>1371</v>
      </c>
      <c r="C684" s="31" t="s">
        <v>443</v>
      </c>
      <c r="D684" s="31" t="s">
        <v>1498</v>
      </c>
      <c r="E684" s="31" t="s">
        <v>1373</v>
      </c>
      <c r="F684" s="31" t="s">
        <v>445</v>
      </c>
    </row>
    <row r="685" spans="2:6" x14ac:dyDescent="0.35">
      <c r="B685" s="31" t="s">
        <v>1371</v>
      </c>
      <c r="C685" s="31" t="s">
        <v>135</v>
      </c>
      <c r="D685" s="31" t="s">
        <v>1498</v>
      </c>
      <c r="E685" s="31" t="s">
        <v>1373</v>
      </c>
      <c r="F685" s="31" t="s">
        <v>137</v>
      </c>
    </row>
    <row r="686" spans="2:6" x14ac:dyDescent="0.35">
      <c r="B686" s="31" t="s">
        <v>1371</v>
      </c>
      <c r="C686" s="31" t="s">
        <v>545</v>
      </c>
      <c r="D686" s="31" t="s">
        <v>1498</v>
      </c>
      <c r="E686" s="31" t="s">
        <v>1373</v>
      </c>
      <c r="F686" s="31" t="s">
        <v>547</v>
      </c>
    </row>
    <row r="687" spans="2:6" x14ac:dyDescent="0.35">
      <c r="B687" s="31" t="s">
        <v>1371</v>
      </c>
      <c r="C687" s="31" t="s">
        <v>745</v>
      </c>
      <c r="D687" s="31" t="s">
        <v>1498</v>
      </c>
      <c r="E687" s="31" t="s">
        <v>1373</v>
      </c>
      <c r="F687" s="31" t="s">
        <v>747</v>
      </c>
    </row>
    <row r="688" spans="2:6" x14ac:dyDescent="0.35">
      <c r="B688" s="31" t="s">
        <v>1371</v>
      </c>
      <c r="C688" s="31" t="s">
        <v>616</v>
      </c>
      <c r="D688" s="31" t="s">
        <v>1498</v>
      </c>
      <c r="E688" s="31" t="s">
        <v>1373</v>
      </c>
      <c r="F688" s="31" t="s">
        <v>609</v>
      </c>
    </row>
    <row r="689" spans="2:6" x14ac:dyDescent="0.35">
      <c r="B689" s="31" t="s">
        <v>1371</v>
      </c>
      <c r="C689" s="31" t="s">
        <v>699</v>
      </c>
      <c r="D689" s="31" t="s">
        <v>1498</v>
      </c>
      <c r="E689" s="31" t="s">
        <v>1373</v>
      </c>
      <c r="F689" s="31" t="s">
        <v>701</v>
      </c>
    </row>
    <row r="690" spans="2:6" x14ac:dyDescent="0.35">
      <c r="B690" s="31" t="s">
        <v>1371</v>
      </c>
      <c r="C690" s="31" t="s">
        <v>267</v>
      </c>
      <c r="D690" s="31" t="s">
        <v>1498</v>
      </c>
      <c r="E690" s="31" t="s">
        <v>1373</v>
      </c>
      <c r="F690" s="31" t="s">
        <v>269</v>
      </c>
    </row>
    <row r="691" spans="2:6" x14ac:dyDescent="0.35">
      <c r="B691" s="31" t="s">
        <v>1371</v>
      </c>
      <c r="C691" s="31" t="s">
        <v>157</v>
      </c>
      <c r="D691" s="31" t="s">
        <v>1499</v>
      </c>
      <c r="E691" s="31" t="s">
        <v>1373</v>
      </c>
      <c r="F691" s="31" t="s">
        <v>164</v>
      </c>
    </row>
    <row r="692" spans="2:6" x14ac:dyDescent="0.35">
      <c r="B692" s="31" t="s">
        <v>1371</v>
      </c>
      <c r="C692" s="31" t="s">
        <v>405</v>
      </c>
      <c r="D692" s="31" t="s">
        <v>1499</v>
      </c>
      <c r="E692" s="31" t="s">
        <v>1373</v>
      </c>
      <c r="F692" s="31" t="s">
        <v>411</v>
      </c>
    </row>
    <row r="693" spans="2:6" x14ac:dyDescent="0.35">
      <c r="B693" s="31" t="s">
        <v>1371</v>
      </c>
      <c r="C693" s="31" t="s">
        <v>595</v>
      </c>
      <c r="D693" s="31" t="s">
        <v>1499</v>
      </c>
      <c r="E693" s="31" t="s">
        <v>1373</v>
      </c>
      <c r="F693" s="31" t="s">
        <v>601</v>
      </c>
    </row>
    <row r="694" spans="2:6" x14ac:dyDescent="0.35">
      <c r="B694" s="31" t="s">
        <v>1371</v>
      </c>
      <c r="C694" s="31" t="s">
        <v>517</v>
      </c>
      <c r="D694" s="31" t="s">
        <v>1499</v>
      </c>
      <c r="E694" s="31" t="s">
        <v>1373</v>
      </c>
      <c r="F694" s="31" t="s">
        <v>520</v>
      </c>
    </row>
    <row r="695" spans="2:6" x14ac:dyDescent="0.35">
      <c r="B695" s="31" t="s">
        <v>1371</v>
      </c>
      <c r="C695" s="31" t="s">
        <v>718</v>
      </c>
      <c r="D695" s="31" t="s">
        <v>1499</v>
      </c>
      <c r="E695" s="31" t="s">
        <v>1373</v>
      </c>
      <c r="F695" s="31" t="s">
        <v>722</v>
      </c>
    </row>
    <row r="696" spans="2:6" x14ac:dyDescent="0.35">
      <c r="B696" s="31" t="s">
        <v>1371</v>
      </c>
      <c r="C696" s="31" t="s">
        <v>49</v>
      </c>
      <c r="D696" s="31" t="s">
        <v>1499</v>
      </c>
      <c r="E696" s="31" t="s">
        <v>1373</v>
      </c>
      <c r="F696" s="31" t="s">
        <v>694</v>
      </c>
    </row>
    <row r="697" spans="2:6" x14ac:dyDescent="0.35">
      <c r="B697" s="31" t="s">
        <v>1371</v>
      </c>
      <c r="C697" s="31" t="s">
        <v>486</v>
      </c>
      <c r="D697" s="31" t="s">
        <v>1499</v>
      </c>
      <c r="E697" s="31" t="s">
        <v>1373</v>
      </c>
      <c r="F697" s="31" t="s">
        <v>464</v>
      </c>
    </row>
    <row r="698" spans="2:6" x14ac:dyDescent="0.35">
      <c r="B698" s="31" t="s">
        <v>1371</v>
      </c>
      <c r="C698" s="31" t="s">
        <v>529</v>
      </c>
      <c r="D698" s="31" t="s">
        <v>1499</v>
      </c>
      <c r="E698" s="31" t="s">
        <v>1373</v>
      </c>
      <c r="F698" s="31" t="s">
        <v>520</v>
      </c>
    </row>
    <row r="699" spans="2:6" x14ac:dyDescent="0.35">
      <c r="B699" s="31" t="s">
        <v>1371</v>
      </c>
      <c r="C699" s="31" t="s">
        <v>65</v>
      </c>
      <c r="D699" s="31" t="s">
        <v>1499</v>
      </c>
      <c r="E699" s="31" t="s">
        <v>1373</v>
      </c>
      <c r="F699" s="31" t="s">
        <v>356</v>
      </c>
    </row>
    <row r="700" spans="2:6" x14ac:dyDescent="0.35">
      <c r="B700" s="31" t="s">
        <v>1371</v>
      </c>
      <c r="C700" s="31" t="s">
        <v>93</v>
      </c>
      <c r="D700" s="31" t="s">
        <v>1499</v>
      </c>
      <c r="E700" s="31" t="s">
        <v>1373</v>
      </c>
      <c r="F700" s="31" t="s">
        <v>99</v>
      </c>
    </row>
    <row r="701" spans="2:6" x14ac:dyDescent="0.35">
      <c r="B701" s="31" t="s">
        <v>1371</v>
      </c>
      <c r="C701" s="31" t="s">
        <v>398</v>
      </c>
      <c r="D701" s="31" t="s">
        <v>1499</v>
      </c>
      <c r="E701" s="31" t="s">
        <v>1373</v>
      </c>
      <c r="F701" s="31" t="s">
        <v>402</v>
      </c>
    </row>
    <row r="702" spans="2:6" x14ac:dyDescent="0.35">
      <c r="B702" s="31" t="s">
        <v>1371</v>
      </c>
      <c r="C702" s="31" t="s">
        <v>425</v>
      </c>
      <c r="D702" s="31" t="s">
        <v>1499</v>
      </c>
      <c r="E702" s="31" t="s">
        <v>1373</v>
      </c>
      <c r="F702" s="31" t="s">
        <v>429</v>
      </c>
    </row>
    <row r="703" spans="2:6" x14ac:dyDescent="0.35">
      <c r="B703" s="31" t="s">
        <v>1371</v>
      </c>
      <c r="C703" s="31" t="s">
        <v>773</v>
      </c>
      <c r="D703" s="31" t="s">
        <v>1499</v>
      </c>
      <c r="E703" s="31" t="s">
        <v>1373</v>
      </c>
      <c r="F703" s="31" t="s">
        <v>203</v>
      </c>
    </row>
    <row r="704" spans="2:6" x14ac:dyDescent="0.35">
      <c r="B704" s="31" t="s">
        <v>1371</v>
      </c>
      <c r="C704" s="31" t="s">
        <v>553</v>
      </c>
      <c r="D704" s="31" t="s">
        <v>1499</v>
      </c>
      <c r="E704" s="31" t="s">
        <v>1373</v>
      </c>
      <c r="F704" s="31" t="s">
        <v>356</v>
      </c>
    </row>
    <row r="705" spans="2:6" x14ac:dyDescent="0.35">
      <c r="B705" s="31" t="s">
        <v>1371</v>
      </c>
      <c r="C705" s="31" t="s">
        <v>564</v>
      </c>
      <c r="D705" s="31" t="s">
        <v>1499</v>
      </c>
      <c r="E705" s="31" t="s">
        <v>1373</v>
      </c>
      <c r="F705" s="31" t="s">
        <v>356</v>
      </c>
    </row>
    <row r="706" spans="2:6" x14ac:dyDescent="0.35">
      <c r="B706" s="31" t="s">
        <v>1371</v>
      </c>
      <c r="C706" s="31" t="s">
        <v>79</v>
      </c>
      <c r="D706" s="31" t="s">
        <v>1499</v>
      </c>
      <c r="E706" s="31" t="s">
        <v>1373</v>
      </c>
      <c r="F706" s="31" t="s">
        <v>293</v>
      </c>
    </row>
    <row r="707" spans="2:6" x14ac:dyDescent="0.35">
      <c r="B707" s="31" t="s">
        <v>1371</v>
      </c>
      <c r="C707" s="31" t="s">
        <v>708</v>
      </c>
      <c r="D707" s="31" t="s">
        <v>1499</v>
      </c>
      <c r="E707" s="31" t="s">
        <v>1373</v>
      </c>
      <c r="F707" s="31" t="s">
        <v>712</v>
      </c>
    </row>
    <row r="708" spans="2:6" x14ac:dyDescent="0.35">
      <c r="B708" s="31" t="s">
        <v>1371</v>
      </c>
      <c r="C708" s="31" t="s">
        <v>504</v>
      </c>
      <c r="D708" s="31" t="s">
        <v>1499</v>
      </c>
      <c r="E708" s="31" t="s">
        <v>1373</v>
      </c>
      <c r="F708" s="31" t="s">
        <v>411</v>
      </c>
    </row>
    <row r="709" spans="2:6" x14ac:dyDescent="0.35">
      <c r="B709" s="31" t="s">
        <v>1371</v>
      </c>
      <c r="C709" s="31" t="s">
        <v>682</v>
      </c>
      <c r="D709" s="31" t="s">
        <v>1499</v>
      </c>
      <c r="E709" s="31" t="s">
        <v>1373</v>
      </c>
      <c r="F709" s="31" t="s">
        <v>411</v>
      </c>
    </row>
    <row r="710" spans="2:6" x14ac:dyDescent="0.35">
      <c r="B710" s="31" t="s">
        <v>1371</v>
      </c>
      <c r="C710" s="31" t="s">
        <v>589</v>
      </c>
      <c r="D710" s="31" t="s">
        <v>1499</v>
      </c>
      <c r="E710" s="31" t="s">
        <v>1373</v>
      </c>
      <c r="F710" s="31" t="s">
        <v>464</v>
      </c>
    </row>
    <row r="711" spans="2:6" x14ac:dyDescent="0.35">
      <c r="B711" s="31" t="s">
        <v>1371</v>
      </c>
      <c r="C711" s="31" t="s">
        <v>523</v>
      </c>
      <c r="D711" s="31" t="s">
        <v>1499</v>
      </c>
      <c r="E711" s="31" t="s">
        <v>1373</v>
      </c>
      <c r="F711" s="31" t="s">
        <v>526</v>
      </c>
    </row>
    <row r="712" spans="2:6" x14ac:dyDescent="0.35">
      <c r="B712" s="31" t="s">
        <v>1371</v>
      </c>
      <c r="C712" s="31" t="s">
        <v>327</v>
      </c>
      <c r="D712" s="31" t="s">
        <v>1499</v>
      </c>
      <c r="E712" s="31" t="s">
        <v>1373</v>
      </c>
      <c r="F712" s="31" t="s">
        <v>1147</v>
      </c>
    </row>
    <row r="713" spans="2:6" x14ac:dyDescent="0.35">
      <c r="B713" s="31" t="s">
        <v>1371</v>
      </c>
      <c r="C713" s="31" t="s">
        <v>387</v>
      </c>
      <c r="D713" s="31" t="s">
        <v>1499</v>
      </c>
      <c r="E713" s="31" t="s">
        <v>1373</v>
      </c>
      <c r="F713" s="31" t="s">
        <v>393</v>
      </c>
    </row>
    <row r="714" spans="2:6" x14ac:dyDescent="0.35">
      <c r="B714" s="31" t="s">
        <v>1371</v>
      </c>
      <c r="C714" s="31" t="s">
        <v>361</v>
      </c>
      <c r="D714" s="31" t="s">
        <v>1499</v>
      </c>
      <c r="E714" s="31" t="s">
        <v>1373</v>
      </c>
      <c r="F714" s="31" t="s">
        <v>365</v>
      </c>
    </row>
    <row r="715" spans="2:6" x14ac:dyDescent="0.35">
      <c r="B715" s="31" t="s">
        <v>1371</v>
      </c>
      <c r="C715" s="31" t="s">
        <v>314</v>
      </c>
      <c r="D715" s="31" t="s">
        <v>1499</v>
      </c>
      <c r="E715" s="31" t="s">
        <v>1373</v>
      </c>
      <c r="F715" s="31" t="s">
        <v>1140</v>
      </c>
    </row>
    <row r="716" spans="2:6" x14ac:dyDescent="0.35">
      <c r="B716" s="31" t="s">
        <v>1371</v>
      </c>
      <c r="C716" s="31" t="s">
        <v>536</v>
      </c>
      <c r="D716" s="31" t="s">
        <v>1499</v>
      </c>
      <c r="E716" s="31" t="s">
        <v>1373</v>
      </c>
      <c r="F716" s="31" t="s">
        <v>411</v>
      </c>
    </row>
    <row r="717" spans="2:6" x14ac:dyDescent="0.35">
      <c r="B717" s="31" t="s">
        <v>1371</v>
      </c>
      <c r="C717" s="31" t="s">
        <v>122</v>
      </c>
      <c r="D717" s="31" t="s">
        <v>1499</v>
      </c>
      <c r="E717" s="31" t="s">
        <v>1373</v>
      </c>
      <c r="F717" s="31" t="s">
        <v>1057</v>
      </c>
    </row>
    <row r="718" spans="2:6" x14ac:dyDescent="0.35">
      <c r="B718" s="31" t="s">
        <v>1371</v>
      </c>
      <c r="C718" s="31" t="s">
        <v>663</v>
      </c>
      <c r="D718" s="31" t="s">
        <v>1499</v>
      </c>
      <c r="E718" s="31" t="s">
        <v>1373</v>
      </c>
      <c r="F718" s="31" t="s">
        <v>1240</v>
      </c>
    </row>
    <row r="719" spans="2:6" x14ac:dyDescent="0.35">
      <c r="B719" s="31" t="s">
        <v>1371</v>
      </c>
      <c r="C719" s="31" t="s">
        <v>370</v>
      </c>
      <c r="D719" s="31" t="s">
        <v>1499</v>
      </c>
      <c r="E719" s="31" t="s">
        <v>1373</v>
      </c>
      <c r="F719" s="31" t="s">
        <v>376</v>
      </c>
    </row>
    <row r="720" spans="2:6" x14ac:dyDescent="0.35">
      <c r="B720" s="31" t="s">
        <v>1371</v>
      </c>
      <c r="C720" s="31" t="s">
        <v>624</v>
      </c>
      <c r="D720" s="31" t="s">
        <v>1499</v>
      </c>
      <c r="E720" s="31" t="s">
        <v>1373</v>
      </c>
      <c r="F720" s="31" t="s">
        <v>612</v>
      </c>
    </row>
    <row r="721" spans="2:6" x14ac:dyDescent="0.35">
      <c r="B721" s="31" t="s">
        <v>1371</v>
      </c>
      <c r="C721" s="31" t="s">
        <v>735</v>
      </c>
      <c r="D721" s="31" t="s">
        <v>1499</v>
      </c>
      <c r="E721" s="31" t="s">
        <v>1373</v>
      </c>
      <c r="F721" s="31" t="s">
        <v>739</v>
      </c>
    </row>
    <row r="722" spans="2:6" x14ac:dyDescent="0.35">
      <c r="B722" s="31" t="s">
        <v>1371</v>
      </c>
      <c r="C722" s="31" t="s">
        <v>171</v>
      </c>
      <c r="D722" s="31" t="s">
        <v>1499</v>
      </c>
      <c r="E722" s="31" t="s">
        <v>1373</v>
      </c>
      <c r="F722" s="31" t="s">
        <v>177</v>
      </c>
    </row>
    <row r="723" spans="2:6" x14ac:dyDescent="0.35">
      <c r="B723" s="31" t="s">
        <v>1371</v>
      </c>
      <c r="C723" s="31" t="s">
        <v>300</v>
      </c>
      <c r="D723" s="31" t="s">
        <v>1499</v>
      </c>
      <c r="E723" s="31" t="s">
        <v>1373</v>
      </c>
      <c r="F723" s="31" t="s">
        <v>307</v>
      </c>
    </row>
    <row r="724" spans="2:6" x14ac:dyDescent="0.35">
      <c r="B724" s="31" t="s">
        <v>1371</v>
      </c>
      <c r="C724" s="31" t="s">
        <v>866</v>
      </c>
      <c r="D724" s="31" t="s">
        <v>1499</v>
      </c>
      <c r="E724" s="31" t="s">
        <v>1373</v>
      </c>
      <c r="F724" s="31" t="s">
        <v>871</v>
      </c>
    </row>
    <row r="725" spans="2:6" x14ac:dyDescent="0.35">
      <c r="B725" s="31" t="s">
        <v>1371</v>
      </c>
      <c r="C725" s="31" t="s">
        <v>632</v>
      </c>
      <c r="D725" s="31" t="s">
        <v>1499</v>
      </c>
      <c r="E725" s="31" t="s">
        <v>1373</v>
      </c>
      <c r="F725" s="31" t="s">
        <v>464</v>
      </c>
    </row>
    <row r="726" spans="2:6" x14ac:dyDescent="0.35">
      <c r="B726" s="31" t="s">
        <v>1371</v>
      </c>
      <c r="C726" s="31" t="s">
        <v>458</v>
      </c>
      <c r="D726" s="31" t="s">
        <v>1499</v>
      </c>
      <c r="E726" s="31" t="s">
        <v>1373</v>
      </c>
      <c r="F726" s="31" t="s">
        <v>464</v>
      </c>
    </row>
    <row r="727" spans="2:6" x14ac:dyDescent="0.35">
      <c r="B727" s="31" t="s">
        <v>1371</v>
      </c>
      <c r="C727" s="31" t="s">
        <v>259</v>
      </c>
      <c r="D727" s="31" t="s">
        <v>1499</v>
      </c>
      <c r="E727" s="31" t="s">
        <v>1373</v>
      </c>
      <c r="F727" s="31" t="s">
        <v>1110</v>
      </c>
    </row>
    <row r="728" spans="2:6" x14ac:dyDescent="0.35">
      <c r="B728" s="31" t="s">
        <v>1371</v>
      </c>
      <c r="C728" s="31" t="s">
        <v>216</v>
      </c>
      <c r="D728" s="31" t="s">
        <v>1499</v>
      </c>
      <c r="E728" s="31" t="s">
        <v>1373</v>
      </c>
      <c r="F728" s="31" t="s">
        <v>1091</v>
      </c>
    </row>
    <row r="729" spans="2:6" x14ac:dyDescent="0.35">
      <c r="B729" s="31" t="s">
        <v>1371</v>
      </c>
      <c r="C729" s="31" t="s">
        <v>107</v>
      </c>
      <c r="D729" s="31" t="s">
        <v>1499</v>
      </c>
      <c r="E729" s="31" t="s">
        <v>1373</v>
      </c>
      <c r="F729" s="31" t="s">
        <v>114</v>
      </c>
    </row>
    <row r="730" spans="2:6" x14ac:dyDescent="0.35">
      <c r="B730" s="31" t="s">
        <v>1371</v>
      </c>
      <c r="C730" s="31" t="s">
        <v>757</v>
      </c>
      <c r="D730" s="31" t="s">
        <v>1499</v>
      </c>
      <c r="E730" s="31" t="s">
        <v>1373</v>
      </c>
      <c r="F730" s="31" t="s">
        <v>761</v>
      </c>
    </row>
    <row r="731" spans="2:6" x14ac:dyDescent="0.35">
      <c r="B731" s="31" t="s">
        <v>1371</v>
      </c>
      <c r="C731" s="31" t="s">
        <v>144</v>
      </c>
      <c r="D731" s="31" t="s">
        <v>1499</v>
      </c>
      <c r="E731" s="31" t="s">
        <v>1373</v>
      </c>
      <c r="F731" s="31" t="s">
        <v>151</v>
      </c>
    </row>
    <row r="732" spans="2:6" x14ac:dyDescent="0.35">
      <c r="B732" s="31" t="s">
        <v>1371</v>
      </c>
      <c r="C732" s="31" t="s">
        <v>582</v>
      </c>
      <c r="D732" s="31" t="s">
        <v>1499</v>
      </c>
      <c r="E732" s="31" t="s">
        <v>1373</v>
      </c>
      <c r="F732" s="31" t="s">
        <v>585</v>
      </c>
    </row>
    <row r="733" spans="2:6" x14ac:dyDescent="0.35">
      <c r="B733" s="31" t="s">
        <v>1371</v>
      </c>
      <c r="C733" s="31" t="s">
        <v>766</v>
      </c>
      <c r="D733" s="31" t="s">
        <v>1499</v>
      </c>
      <c r="E733" s="31" t="s">
        <v>1373</v>
      </c>
      <c r="F733" s="31" t="s">
        <v>761</v>
      </c>
    </row>
    <row r="734" spans="2:6" x14ac:dyDescent="0.35">
      <c r="B734" s="31" t="s">
        <v>1371</v>
      </c>
      <c r="C734" s="31" t="s">
        <v>236</v>
      </c>
      <c r="D734" s="31" t="s">
        <v>1499</v>
      </c>
      <c r="E734" s="31" t="s">
        <v>1373</v>
      </c>
      <c r="F734" s="31" t="s">
        <v>1100</v>
      </c>
    </row>
    <row r="735" spans="2:6" x14ac:dyDescent="0.35">
      <c r="B735" s="31" t="s">
        <v>1371</v>
      </c>
      <c r="C735" s="31" t="s">
        <v>690</v>
      </c>
      <c r="D735" s="31" t="s">
        <v>1499</v>
      </c>
      <c r="E735" s="31" t="s">
        <v>1373</v>
      </c>
      <c r="F735" s="31" t="s">
        <v>694</v>
      </c>
    </row>
    <row r="736" spans="2:6" x14ac:dyDescent="0.35">
      <c r="B736" s="31" t="s">
        <v>1371</v>
      </c>
      <c r="C736" s="31" t="s">
        <v>339</v>
      </c>
      <c r="D736" s="31" t="s">
        <v>1499</v>
      </c>
      <c r="E736" s="31" t="s">
        <v>1373</v>
      </c>
      <c r="F736" s="31" t="s">
        <v>886</v>
      </c>
    </row>
    <row r="737" spans="2:6" x14ac:dyDescent="0.35">
      <c r="B737" s="31" t="s">
        <v>1371</v>
      </c>
      <c r="C737" s="31" t="s">
        <v>727</v>
      </c>
      <c r="D737" s="31" t="s">
        <v>1499</v>
      </c>
      <c r="E737" s="31" t="s">
        <v>1373</v>
      </c>
      <c r="F737" s="31" t="s">
        <v>356</v>
      </c>
    </row>
    <row r="738" spans="2:6" x14ac:dyDescent="0.35">
      <c r="B738" s="31" t="s">
        <v>1371</v>
      </c>
      <c r="C738" s="31" t="s">
        <v>906</v>
      </c>
      <c r="D738" s="31" t="s">
        <v>1499</v>
      </c>
      <c r="E738" s="31" t="s">
        <v>1373</v>
      </c>
      <c r="F738" s="31" t="s">
        <v>911</v>
      </c>
    </row>
    <row r="739" spans="2:6" x14ac:dyDescent="0.35">
      <c r="B739" s="31" t="s">
        <v>1371</v>
      </c>
      <c r="C739" s="31" t="s">
        <v>287</v>
      </c>
      <c r="D739" s="31" t="s">
        <v>1499</v>
      </c>
      <c r="E739" s="31" t="s">
        <v>1373</v>
      </c>
      <c r="F739" s="31" t="s">
        <v>293</v>
      </c>
    </row>
    <row r="740" spans="2:6" x14ac:dyDescent="0.35">
      <c r="B740" s="31" t="s">
        <v>1371</v>
      </c>
      <c r="C740" s="31" t="s">
        <v>226</v>
      </c>
      <c r="D740" s="31" t="s">
        <v>1499</v>
      </c>
      <c r="E740" s="31" t="s">
        <v>1373</v>
      </c>
      <c r="F740" s="31" t="s">
        <v>1095</v>
      </c>
    </row>
    <row r="741" spans="2:6" x14ac:dyDescent="0.35">
      <c r="B741" s="31" t="s">
        <v>1371</v>
      </c>
      <c r="C741" s="31" t="s">
        <v>277</v>
      </c>
      <c r="D741" s="31" t="s">
        <v>1499</v>
      </c>
      <c r="E741" s="31" t="s">
        <v>1373</v>
      </c>
      <c r="F741" s="31" t="s">
        <v>283</v>
      </c>
    </row>
    <row r="742" spans="2:6" x14ac:dyDescent="0.35">
      <c r="B742" s="31" t="s">
        <v>1371</v>
      </c>
      <c r="C742" s="31" t="s">
        <v>180</v>
      </c>
      <c r="D742" s="31" t="s">
        <v>1499</v>
      </c>
      <c r="E742" s="31" t="s">
        <v>1373</v>
      </c>
      <c r="F742" s="31" t="s">
        <v>1075</v>
      </c>
    </row>
    <row r="743" spans="2:6" x14ac:dyDescent="0.35">
      <c r="B743" s="31" t="s">
        <v>1371</v>
      </c>
      <c r="C743" s="31" t="s">
        <v>654</v>
      </c>
      <c r="D743" s="31" t="s">
        <v>1499</v>
      </c>
      <c r="E743" s="31" t="s">
        <v>1373</v>
      </c>
      <c r="F743" s="31" t="s">
        <v>658</v>
      </c>
    </row>
    <row r="744" spans="2:6" x14ac:dyDescent="0.35">
      <c r="B744" s="31" t="s">
        <v>1371</v>
      </c>
      <c r="C744" s="31" t="s">
        <v>782</v>
      </c>
      <c r="D744" s="31" t="s">
        <v>1499</v>
      </c>
      <c r="E744" s="31" t="s">
        <v>1373</v>
      </c>
      <c r="F744" s="31" t="s">
        <v>786</v>
      </c>
    </row>
    <row r="745" spans="2:6" x14ac:dyDescent="0.35">
      <c r="B745" s="31" t="s">
        <v>1371</v>
      </c>
      <c r="C745" s="31" t="s">
        <v>416</v>
      </c>
      <c r="D745" s="31" t="s">
        <v>1499</v>
      </c>
      <c r="E745" s="31" t="s">
        <v>1373</v>
      </c>
      <c r="F745" s="31" t="s">
        <v>421</v>
      </c>
    </row>
    <row r="746" spans="2:6" x14ac:dyDescent="0.35">
      <c r="B746" s="31" t="s">
        <v>1371</v>
      </c>
      <c r="C746" s="31" t="s">
        <v>135</v>
      </c>
      <c r="D746" s="31" t="s">
        <v>1499</v>
      </c>
      <c r="E746" s="31" t="s">
        <v>1373</v>
      </c>
      <c r="F746" s="31" t="s">
        <v>140</v>
      </c>
    </row>
    <row r="747" spans="2:6" x14ac:dyDescent="0.35">
      <c r="B747" s="31" t="s">
        <v>1371</v>
      </c>
      <c r="C747" s="31" t="s">
        <v>545</v>
      </c>
      <c r="D747" s="31" t="s">
        <v>1499</v>
      </c>
      <c r="E747" s="31" t="s">
        <v>1373</v>
      </c>
      <c r="F747" s="31" t="s">
        <v>549</v>
      </c>
    </row>
    <row r="748" spans="2:6" x14ac:dyDescent="0.35">
      <c r="B748" s="31" t="s">
        <v>1371</v>
      </c>
      <c r="C748" s="31" t="s">
        <v>571</v>
      </c>
      <c r="D748" s="31" t="s">
        <v>1499</v>
      </c>
      <c r="E748" s="31" t="s">
        <v>1373</v>
      </c>
      <c r="F748" s="31" t="s">
        <v>575</v>
      </c>
    </row>
    <row r="749" spans="2:6" x14ac:dyDescent="0.35">
      <c r="B749" s="31" t="s">
        <v>1371</v>
      </c>
      <c r="C749" s="31" t="s">
        <v>675</v>
      </c>
      <c r="D749" s="31" t="s">
        <v>1499</v>
      </c>
      <c r="E749" s="31" t="s">
        <v>1373</v>
      </c>
      <c r="F749" s="31" t="s">
        <v>356</v>
      </c>
    </row>
    <row r="750" spans="2:6" x14ac:dyDescent="0.35">
      <c r="B750" s="31" t="s">
        <v>1371</v>
      </c>
      <c r="C750" s="31" t="s">
        <v>644</v>
      </c>
      <c r="D750" s="31" t="s">
        <v>1499</v>
      </c>
      <c r="E750" s="31" t="s">
        <v>1373</v>
      </c>
      <c r="F750" s="31" t="s">
        <v>464</v>
      </c>
    </row>
    <row r="751" spans="2:6" x14ac:dyDescent="0.35">
      <c r="B751" s="31" t="s">
        <v>1371</v>
      </c>
      <c r="C751" s="31" t="s">
        <v>745</v>
      </c>
      <c r="D751" s="31" t="s">
        <v>1499</v>
      </c>
      <c r="E751" s="31" t="s">
        <v>1373</v>
      </c>
      <c r="F751" s="31" t="s">
        <v>750</v>
      </c>
    </row>
    <row r="752" spans="2:6" x14ac:dyDescent="0.35">
      <c r="B752" s="31" t="s">
        <v>1371</v>
      </c>
      <c r="C752" s="31" t="s">
        <v>616</v>
      </c>
      <c r="D752" s="31" t="s">
        <v>1499</v>
      </c>
      <c r="E752" s="31" t="s">
        <v>1373</v>
      </c>
      <c r="F752" s="31" t="s">
        <v>621</v>
      </c>
    </row>
    <row r="753" spans="2:6" x14ac:dyDescent="0.35">
      <c r="B753" s="31" t="s">
        <v>1371</v>
      </c>
      <c r="C753" s="31" t="s">
        <v>495</v>
      </c>
      <c r="D753" s="31" t="s">
        <v>1499</v>
      </c>
      <c r="E753" s="31" t="s">
        <v>1373</v>
      </c>
      <c r="F753" s="31" t="s">
        <v>500</v>
      </c>
    </row>
    <row r="754" spans="2:6" x14ac:dyDescent="0.35">
      <c r="B754" s="31" t="s">
        <v>1371</v>
      </c>
      <c r="C754" s="31" t="s">
        <v>699</v>
      </c>
      <c r="D754" s="31" t="s">
        <v>1499</v>
      </c>
      <c r="E754" s="31" t="s">
        <v>1373</v>
      </c>
      <c r="F754" s="31" t="s">
        <v>703</v>
      </c>
    </row>
    <row r="755" spans="2:6" x14ac:dyDescent="0.35">
      <c r="B755" s="31" t="s">
        <v>1371</v>
      </c>
      <c r="C755" s="31" t="s">
        <v>436</v>
      </c>
      <c r="D755" s="31" t="s">
        <v>1499</v>
      </c>
      <c r="E755" s="31" t="s">
        <v>1373</v>
      </c>
      <c r="F755" s="31" t="s">
        <v>411</v>
      </c>
    </row>
    <row r="756" spans="2:6" x14ac:dyDescent="0.35">
      <c r="B756" s="31" t="s">
        <v>1371</v>
      </c>
      <c r="C756" s="31" t="s">
        <v>267</v>
      </c>
      <c r="D756" s="31" t="s">
        <v>1499</v>
      </c>
      <c r="E756" s="31" t="s">
        <v>1373</v>
      </c>
      <c r="F756" s="31" t="s">
        <v>307</v>
      </c>
    </row>
    <row r="757" spans="2:6" x14ac:dyDescent="0.35">
      <c r="B757" s="31" t="s">
        <v>1371</v>
      </c>
      <c r="C757" s="31" t="s">
        <v>157</v>
      </c>
      <c r="D757" s="31" t="s">
        <v>1500</v>
      </c>
      <c r="E757" s="31" t="s">
        <v>1373</v>
      </c>
      <c r="F757" s="31" t="s">
        <v>166</v>
      </c>
    </row>
    <row r="758" spans="2:6" x14ac:dyDescent="0.35">
      <c r="B758" s="31" t="s">
        <v>1371</v>
      </c>
      <c r="C758" s="31" t="s">
        <v>595</v>
      </c>
      <c r="D758" s="31" t="s">
        <v>1500</v>
      </c>
      <c r="E758" s="31" t="s">
        <v>1373</v>
      </c>
      <c r="F758" s="31" t="s">
        <v>602</v>
      </c>
    </row>
    <row r="759" spans="2:6" x14ac:dyDescent="0.35">
      <c r="B759" s="31" t="s">
        <v>1371</v>
      </c>
      <c r="C759" s="31" t="s">
        <v>718</v>
      </c>
      <c r="D759" s="31" t="s">
        <v>1500</v>
      </c>
      <c r="E759" s="31" t="s">
        <v>1373</v>
      </c>
      <c r="F759" s="31" t="s">
        <v>723</v>
      </c>
    </row>
    <row r="760" spans="2:6" x14ac:dyDescent="0.35">
      <c r="B760" s="31" t="s">
        <v>1371</v>
      </c>
      <c r="C760" s="31" t="s">
        <v>49</v>
      </c>
      <c r="D760" s="31" t="s">
        <v>1500</v>
      </c>
      <c r="E760" s="31" t="s">
        <v>1373</v>
      </c>
      <c r="F760" s="31" t="s">
        <v>61</v>
      </c>
    </row>
    <row r="761" spans="2:6" x14ac:dyDescent="0.35">
      <c r="B761" s="31" t="s">
        <v>1371</v>
      </c>
      <c r="C761" s="31" t="s">
        <v>486</v>
      </c>
      <c r="D761" s="31" t="s">
        <v>1500</v>
      </c>
      <c r="E761" s="31" t="s">
        <v>1373</v>
      </c>
      <c r="F761" s="31" t="s">
        <v>491</v>
      </c>
    </row>
    <row r="762" spans="2:6" x14ac:dyDescent="0.35">
      <c r="B762" s="31" t="s">
        <v>1371</v>
      </c>
      <c r="C762" s="31" t="s">
        <v>529</v>
      </c>
      <c r="D762" s="31" t="s">
        <v>1500</v>
      </c>
      <c r="E762" s="31" t="s">
        <v>1373</v>
      </c>
      <c r="F762" s="31" t="s">
        <v>533</v>
      </c>
    </row>
    <row r="763" spans="2:6" x14ac:dyDescent="0.35">
      <c r="B763" s="31" t="s">
        <v>1371</v>
      </c>
      <c r="C763" s="31" t="s">
        <v>65</v>
      </c>
      <c r="D763" s="31" t="s">
        <v>1500</v>
      </c>
      <c r="E763" s="31" t="s">
        <v>1373</v>
      </c>
      <c r="F763" s="31" t="s">
        <v>1040</v>
      </c>
    </row>
    <row r="764" spans="2:6" x14ac:dyDescent="0.35">
      <c r="B764" s="31" t="s">
        <v>1371</v>
      </c>
      <c r="C764" s="31" t="s">
        <v>425</v>
      </c>
      <c r="D764" s="31" t="s">
        <v>1500</v>
      </c>
      <c r="E764" s="31" t="s">
        <v>1373</v>
      </c>
      <c r="F764" s="31" t="s">
        <v>432</v>
      </c>
    </row>
    <row r="765" spans="2:6" x14ac:dyDescent="0.35">
      <c r="B765" s="31" t="s">
        <v>1371</v>
      </c>
      <c r="C765" s="31" t="s">
        <v>773</v>
      </c>
      <c r="D765" s="31" t="s">
        <v>1500</v>
      </c>
      <c r="E765" s="31" t="s">
        <v>1373</v>
      </c>
      <c r="F765" s="31" t="s">
        <v>778</v>
      </c>
    </row>
    <row r="766" spans="2:6" x14ac:dyDescent="0.35">
      <c r="B766" s="31" t="s">
        <v>1371</v>
      </c>
      <c r="C766" s="31" t="s">
        <v>553</v>
      </c>
      <c r="D766" s="31" t="s">
        <v>1500</v>
      </c>
      <c r="E766" s="31" t="s">
        <v>1373</v>
      </c>
      <c r="F766" s="31" t="s">
        <v>559</v>
      </c>
    </row>
    <row r="767" spans="2:6" x14ac:dyDescent="0.35">
      <c r="B767" s="31" t="s">
        <v>1371</v>
      </c>
      <c r="C767" s="31" t="s">
        <v>682</v>
      </c>
      <c r="D767" s="31" t="s">
        <v>1500</v>
      </c>
      <c r="E767" s="31" t="s">
        <v>1373</v>
      </c>
      <c r="F767" s="31" t="s">
        <v>474</v>
      </c>
    </row>
    <row r="768" spans="2:6" x14ac:dyDescent="0.35">
      <c r="B768" s="31" t="s">
        <v>1371</v>
      </c>
      <c r="C768" s="31" t="s">
        <v>589</v>
      </c>
      <c r="D768" s="31" t="s">
        <v>1500</v>
      </c>
      <c r="E768" s="31" t="s">
        <v>1373</v>
      </c>
      <c r="F768" s="31" t="s">
        <v>592</v>
      </c>
    </row>
    <row r="769" spans="2:6" x14ac:dyDescent="0.35">
      <c r="B769" s="31" t="s">
        <v>1371</v>
      </c>
      <c r="C769" s="31" t="s">
        <v>327</v>
      </c>
      <c r="D769" s="31" t="s">
        <v>1500</v>
      </c>
      <c r="E769" s="31" t="s">
        <v>1373</v>
      </c>
      <c r="F769" s="31" t="s">
        <v>1146</v>
      </c>
    </row>
    <row r="770" spans="2:6" x14ac:dyDescent="0.35">
      <c r="B770" s="31" t="s">
        <v>1371</v>
      </c>
      <c r="C770" s="31" t="s">
        <v>470</v>
      </c>
      <c r="D770" s="31" t="s">
        <v>1500</v>
      </c>
      <c r="E770" s="31" t="s">
        <v>1373</v>
      </c>
      <c r="F770" s="31" t="s">
        <v>474</v>
      </c>
    </row>
    <row r="771" spans="2:6" x14ac:dyDescent="0.35">
      <c r="B771" s="31" t="s">
        <v>1371</v>
      </c>
      <c r="C771" s="31" t="s">
        <v>536</v>
      </c>
      <c r="D771" s="31" t="s">
        <v>1500</v>
      </c>
      <c r="E771" s="31" t="s">
        <v>1373</v>
      </c>
      <c r="F771" s="31" t="s">
        <v>541</v>
      </c>
    </row>
    <row r="772" spans="2:6" x14ac:dyDescent="0.35">
      <c r="B772" s="31" t="s">
        <v>1371</v>
      </c>
      <c r="C772" s="31" t="s">
        <v>122</v>
      </c>
      <c r="D772" s="31" t="s">
        <v>1500</v>
      </c>
      <c r="E772" s="31" t="s">
        <v>1373</v>
      </c>
      <c r="F772" s="31" t="s">
        <v>130</v>
      </c>
    </row>
    <row r="773" spans="2:6" x14ac:dyDescent="0.35">
      <c r="B773" s="31" t="s">
        <v>1371</v>
      </c>
      <c r="C773" s="31" t="s">
        <v>663</v>
      </c>
      <c r="D773" s="31" t="s">
        <v>1500</v>
      </c>
      <c r="E773" s="31" t="s">
        <v>1373</v>
      </c>
      <c r="F773" s="31" t="s">
        <v>671</v>
      </c>
    </row>
    <row r="774" spans="2:6" x14ac:dyDescent="0.35">
      <c r="B774" s="31" t="s">
        <v>1371</v>
      </c>
      <c r="C774" s="31" t="s">
        <v>624</v>
      </c>
      <c r="D774" s="31" t="s">
        <v>1500</v>
      </c>
      <c r="E774" s="31" t="s">
        <v>1373</v>
      </c>
      <c r="F774" s="31" t="s">
        <v>1226</v>
      </c>
    </row>
    <row r="775" spans="2:6" x14ac:dyDescent="0.35">
      <c r="B775" s="31" t="s">
        <v>1371</v>
      </c>
      <c r="C775" s="31" t="s">
        <v>735</v>
      </c>
      <c r="D775" s="31" t="s">
        <v>1500</v>
      </c>
      <c r="E775" s="31" t="s">
        <v>1373</v>
      </c>
      <c r="F775" s="31" t="s">
        <v>1269</v>
      </c>
    </row>
    <row r="776" spans="2:6" x14ac:dyDescent="0.35">
      <c r="B776" s="31" t="s">
        <v>1371</v>
      </c>
      <c r="C776" s="31" t="s">
        <v>300</v>
      </c>
      <c r="D776" s="31" t="s">
        <v>1500</v>
      </c>
      <c r="E776" s="31" t="s">
        <v>1373</v>
      </c>
      <c r="F776" s="31" t="s">
        <v>1501</v>
      </c>
    </row>
    <row r="777" spans="2:6" x14ac:dyDescent="0.35">
      <c r="B777" s="31" t="s">
        <v>1371</v>
      </c>
      <c r="C777" s="31" t="s">
        <v>458</v>
      </c>
      <c r="D777" s="31" t="s">
        <v>1500</v>
      </c>
      <c r="E777" s="31" t="s">
        <v>1373</v>
      </c>
      <c r="F777" s="31" t="s">
        <v>466</v>
      </c>
    </row>
    <row r="778" spans="2:6" x14ac:dyDescent="0.35">
      <c r="B778" s="31" t="s">
        <v>1371</v>
      </c>
      <c r="C778" s="31" t="s">
        <v>259</v>
      </c>
      <c r="D778" s="31" t="s">
        <v>1500</v>
      </c>
      <c r="E778" s="31" t="s">
        <v>1373</v>
      </c>
      <c r="F778" s="31" t="s">
        <v>1111</v>
      </c>
    </row>
    <row r="779" spans="2:6" x14ac:dyDescent="0.35">
      <c r="B779" s="31" t="s">
        <v>1371</v>
      </c>
      <c r="C779" s="31" t="s">
        <v>757</v>
      </c>
      <c r="D779" s="31" t="s">
        <v>1500</v>
      </c>
      <c r="E779" s="31" t="s">
        <v>1373</v>
      </c>
      <c r="F779" s="31" t="s">
        <v>762</v>
      </c>
    </row>
    <row r="780" spans="2:6" x14ac:dyDescent="0.35">
      <c r="B780" s="31" t="s">
        <v>1371</v>
      </c>
      <c r="C780" s="31" t="s">
        <v>766</v>
      </c>
      <c r="D780" s="31" t="s">
        <v>1500</v>
      </c>
      <c r="E780" s="31" t="s">
        <v>1373</v>
      </c>
      <c r="F780" s="31" t="s">
        <v>769</v>
      </c>
    </row>
    <row r="781" spans="2:6" x14ac:dyDescent="0.35">
      <c r="B781" s="31" t="s">
        <v>1371</v>
      </c>
      <c r="C781" s="31" t="s">
        <v>339</v>
      </c>
      <c r="D781" s="31" t="s">
        <v>1500</v>
      </c>
      <c r="E781" s="31" t="s">
        <v>1373</v>
      </c>
      <c r="F781" s="31" t="s">
        <v>346</v>
      </c>
    </row>
    <row r="782" spans="2:6" x14ac:dyDescent="0.35">
      <c r="B782" s="31" t="s">
        <v>1371</v>
      </c>
      <c r="C782" s="31" t="s">
        <v>287</v>
      </c>
      <c r="D782" s="31" t="s">
        <v>1500</v>
      </c>
      <c r="E782" s="31" t="s">
        <v>1373</v>
      </c>
      <c r="F782" s="31" t="s">
        <v>1125</v>
      </c>
    </row>
    <row r="783" spans="2:6" x14ac:dyDescent="0.35">
      <c r="B783" s="31" t="s">
        <v>1371</v>
      </c>
      <c r="C783" s="31" t="s">
        <v>226</v>
      </c>
      <c r="D783" s="31" t="s">
        <v>1500</v>
      </c>
      <c r="E783" s="31" t="s">
        <v>1373</v>
      </c>
      <c r="F783" s="31" t="s">
        <v>233</v>
      </c>
    </row>
    <row r="784" spans="2:6" x14ac:dyDescent="0.35">
      <c r="B784" s="31" t="s">
        <v>1371</v>
      </c>
      <c r="C784" s="31" t="s">
        <v>654</v>
      </c>
      <c r="D784" s="31" t="s">
        <v>1500</v>
      </c>
      <c r="E784" s="31" t="s">
        <v>1373</v>
      </c>
      <c r="F784" s="31" t="s">
        <v>1234</v>
      </c>
    </row>
    <row r="785" spans="2:6" x14ac:dyDescent="0.35">
      <c r="B785" s="31" t="s">
        <v>1371</v>
      </c>
      <c r="C785" s="31" t="s">
        <v>782</v>
      </c>
      <c r="D785" s="31" t="s">
        <v>1500</v>
      </c>
      <c r="E785" s="31" t="s">
        <v>1373</v>
      </c>
      <c r="F785" s="31" t="s">
        <v>788</v>
      </c>
    </row>
    <row r="786" spans="2:6" x14ac:dyDescent="0.35">
      <c r="B786" s="31" t="s">
        <v>1371</v>
      </c>
      <c r="C786" s="31" t="s">
        <v>571</v>
      </c>
      <c r="D786" s="31" t="s">
        <v>1500</v>
      </c>
      <c r="E786" s="31" t="s">
        <v>1373</v>
      </c>
      <c r="F786" s="31" t="s">
        <v>577</v>
      </c>
    </row>
    <row r="787" spans="2:6" x14ac:dyDescent="0.35">
      <c r="B787" s="31" t="s">
        <v>1371</v>
      </c>
      <c r="C787" s="31" t="s">
        <v>745</v>
      </c>
      <c r="D787" s="31" t="s">
        <v>1500</v>
      </c>
      <c r="E787" s="31" t="s">
        <v>1373</v>
      </c>
      <c r="F787" s="31" t="s">
        <v>753</v>
      </c>
    </row>
    <row r="788" spans="2:6" x14ac:dyDescent="0.35">
      <c r="B788" s="31" t="s">
        <v>1371</v>
      </c>
      <c r="C788" s="31" t="s">
        <v>699</v>
      </c>
      <c r="D788" s="31" t="s">
        <v>1500</v>
      </c>
      <c r="E788" s="31" t="s">
        <v>1373</v>
      </c>
      <c r="F788" s="31" t="s">
        <v>705</v>
      </c>
    </row>
    <row r="789" spans="2:6" x14ac:dyDescent="0.35">
      <c r="B789" s="31" t="s">
        <v>1371</v>
      </c>
      <c r="C789" s="31" t="s">
        <v>267</v>
      </c>
      <c r="D789" s="31" t="s">
        <v>1500</v>
      </c>
      <c r="E789" s="31" t="s">
        <v>1373</v>
      </c>
      <c r="F789" s="31" t="s">
        <v>1116</v>
      </c>
    </row>
    <row r="790" spans="2:6" x14ac:dyDescent="0.35">
      <c r="B790" s="31" t="s">
        <v>1371</v>
      </c>
      <c r="C790" s="31" t="s">
        <v>157</v>
      </c>
      <c r="D790" s="31" t="s">
        <v>1502</v>
      </c>
      <c r="E790" s="31" t="s">
        <v>1373</v>
      </c>
      <c r="F790" s="31" t="s">
        <v>1503</v>
      </c>
    </row>
    <row r="791" spans="2:6" x14ac:dyDescent="0.35">
      <c r="B791" s="31" t="s">
        <v>1371</v>
      </c>
      <c r="C791" s="31" t="s">
        <v>405</v>
      </c>
      <c r="D791" s="31" t="s">
        <v>1502</v>
      </c>
      <c r="E791" s="31" t="s">
        <v>1373</v>
      </c>
      <c r="F791" s="31" t="s">
        <v>1429</v>
      </c>
    </row>
    <row r="792" spans="2:6" x14ac:dyDescent="0.35">
      <c r="B792" s="31" t="s">
        <v>1371</v>
      </c>
      <c r="C792" s="31" t="s">
        <v>49</v>
      </c>
      <c r="D792" s="31" t="s">
        <v>1502</v>
      </c>
      <c r="E792" s="31" t="s">
        <v>1373</v>
      </c>
      <c r="F792" s="31" t="s">
        <v>1415</v>
      </c>
    </row>
    <row r="793" spans="2:6" x14ac:dyDescent="0.35">
      <c r="B793" s="31" t="s">
        <v>1371</v>
      </c>
      <c r="C793" s="31" t="s">
        <v>486</v>
      </c>
      <c r="D793" s="31" t="s">
        <v>1502</v>
      </c>
      <c r="E793" s="31" t="s">
        <v>1373</v>
      </c>
      <c r="F793" s="31" t="s">
        <v>1504</v>
      </c>
    </row>
    <row r="794" spans="2:6" x14ac:dyDescent="0.35">
      <c r="B794" s="31" t="s">
        <v>1371</v>
      </c>
      <c r="C794" s="31" t="s">
        <v>65</v>
      </c>
      <c r="D794" s="31" t="s">
        <v>1502</v>
      </c>
      <c r="E794" s="31" t="s">
        <v>1373</v>
      </c>
      <c r="F794" s="31" t="s">
        <v>1435</v>
      </c>
    </row>
    <row r="795" spans="2:6" x14ac:dyDescent="0.35">
      <c r="B795" s="31" t="s">
        <v>1371</v>
      </c>
      <c r="C795" s="31" t="s">
        <v>425</v>
      </c>
      <c r="D795" s="31" t="s">
        <v>1502</v>
      </c>
      <c r="E795" s="31" t="s">
        <v>1373</v>
      </c>
      <c r="F795" s="31" t="s">
        <v>1491</v>
      </c>
    </row>
    <row r="796" spans="2:6" x14ac:dyDescent="0.35">
      <c r="B796" s="31" t="s">
        <v>1371</v>
      </c>
      <c r="C796" s="31" t="s">
        <v>504</v>
      </c>
      <c r="D796" s="31" t="s">
        <v>1502</v>
      </c>
      <c r="E796" s="31" t="s">
        <v>1373</v>
      </c>
      <c r="F796" s="31" t="s">
        <v>1505</v>
      </c>
    </row>
    <row r="797" spans="2:6" x14ac:dyDescent="0.35">
      <c r="B797" s="31" t="s">
        <v>1371</v>
      </c>
      <c r="C797" s="31" t="s">
        <v>589</v>
      </c>
      <c r="D797" s="31" t="s">
        <v>1502</v>
      </c>
      <c r="E797" s="31" t="s">
        <v>1373</v>
      </c>
      <c r="F797" s="31" t="s">
        <v>1506</v>
      </c>
    </row>
    <row r="798" spans="2:6" x14ac:dyDescent="0.35">
      <c r="B798" s="31" t="s">
        <v>1371</v>
      </c>
      <c r="C798" s="31" t="s">
        <v>327</v>
      </c>
      <c r="D798" s="31" t="s">
        <v>1502</v>
      </c>
      <c r="E798" s="31" t="s">
        <v>1373</v>
      </c>
      <c r="F798" s="31" t="s">
        <v>1507</v>
      </c>
    </row>
    <row r="799" spans="2:6" x14ac:dyDescent="0.35">
      <c r="B799" s="31" t="s">
        <v>1371</v>
      </c>
      <c r="C799" s="31" t="s">
        <v>314</v>
      </c>
      <c r="D799" s="31" t="s">
        <v>1502</v>
      </c>
      <c r="E799" s="31" t="s">
        <v>1373</v>
      </c>
      <c r="F799" s="31" t="s">
        <v>1508</v>
      </c>
    </row>
    <row r="800" spans="2:6" x14ac:dyDescent="0.35">
      <c r="B800" s="31" t="s">
        <v>1371</v>
      </c>
      <c r="C800" s="31" t="s">
        <v>536</v>
      </c>
      <c r="D800" s="31" t="s">
        <v>1502</v>
      </c>
      <c r="E800" s="31" t="s">
        <v>1373</v>
      </c>
      <c r="F800" s="31" t="s">
        <v>1509</v>
      </c>
    </row>
    <row r="801" spans="2:6" x14ac:dyDescent="0.35">
      <c r="B801" s="31" t="s">
        <v>1371</v>
      </c>
      <c r="C801" s="31" t="s">
        <v>122</v>
      </c>
      <c r="D801" s="31" t="s">
        <v>1502</v>
      </c>
      <c r="E801" s="31" t="s">
        <v>1373</v>
      </c>
      <c r="F801" s="31" t="s">
        <v>1510</v>
      </c>
    </row>
    <row r="802" spans="2:6" x14ac:dyDescent="0.35">
      <c r="B802" s="31" t="s">
        <v>1371</v>
      </c>
      <c r="C802" s="31" t="s">
        <v>663</v>
      </c>
      <c r="D802" s="31" t="s">
        <v>1502</v>
      </c>
      <c r="E802" s="31" t="s">
        <v>1373</v>
      </c>
      <c r="F802" s="31" t="s">
        <v>1511</v>
      </c>
    </row>
    <row r="803" spans="2:6" x14ac:dyDescent="0.35">
      <c r="B803" s="31" t="s">
        <v>1371</v>
      </c>
      <c r="C803" s="31" t="s">
        <v>624</v>
      </c>
      <c r="D803" s="31" t="s">
        <v>1502</v>
      </c>
      <c r="E803" s="31" t="s">
        <v>1373</v>
      </c>
      <c r="F803" s="31" t="s">
        <v>1512</v>
      </c>
    </row>
    <row r="804" spans="2:6" x14ac:dyDescent="0.35">
      <c r="B804" s="31" t="s">
        <v>1371</v>
      </c>
      <c r="C804" s="31" t="s">
        <v>171</v>
      </c>
      <c r="D804" s="31" t="s">
        <v>1502</v>
      </c>
      <c r="E804" s="31" t="s">
        <v>1373</v>
      </c>
      <c r="F804" s="31" t="s">
        <v>1513</v>
      </c>
    </row>
    <row r="805" spans="2:6" x14ac:dyDescent="0.35">
      <c r="B805" s="31" t="s">
        <v>1371</v>
      </c>
      <c r="C805" s="31" t="s">
        <v>632</v>
      </c>
      <c r="D805" s="31" t="s">
        <v>1502</v>
      </c>
      <c r="E805" s="31" t="s">
        <v>1373</v>
      </c>
      <c r="F805" s="31" t="s">
        <v>1425</v>
      </c>
    </row>
    <row r="806" spans="2:6" x14ac:dyDescent="0.35">
      <c r="B806" s="31" t="s">
        <v>1371</v>
      </c>
      <c r="C806" s="31" t="s">
        <v>458</v>
      </c>
      <c r="D806" s="31" t="s">
        <v>1502</v>
      </c>
      <c r="E806" s="31" t="s">
        <v>1373</v>
      </c>
      <c r="F806" s="31" t="s">
        <v>1514</v>
      </c>
    </row>
    <row r="807" spans="2:6" x14ac:dyDescent="0.35">
      <c r="B807" s="31" t="s">
        <v>1371</v>
      </c>
      <c r="C807" s="31" t="s">
        <v>259</v>
      </c>
      <c r="D807" s="31" t="s">
        <v>1502</v>
      </c>
      <c r="E807" s="31" t="s">
        <v>1373</v>
      </c>
      <c r="F807" s="31" t="s">
        <v>1423</v>
      </c>
    </row>
    <row r="808" spans="2:6" x14ac:dyDescent="0.35">
      <c r="B808" s="31" t="s">
        <v>1371</v>
      </c>
      <c r="C808" s="31" t="s">
        <v>216</v>
      </c>
      <c r="D808" s="31" t="s">
        <v>1502</v>
      </c>
      <c r="E808" s="31" t="s">
        <v>1373</v>
      </c>
      <c r="F808" s="31" t="s">
        <v>1515</v>
      </c>
    </row>
    <row r="809" spans="2:6" x14ac:dyDescent="0.35">
      <c r="B809" s="31" t="s">
        <v>1371</v>
      </c>
      <c r="C809" s="31" t="s">
        <v>144</v>
      </c>
      <c r="D809" s="31" t="s">
        <v>1502</v>
      </c>
      <c r="E809" s="31" t="s">
        <v>1373</v>
      </c>
      <c r="F809" s="31" t="s">
        <v>1516</v>
      </c>
    </row>
    <row r="810" spans="2:6" x14ac:dyDescent="0.35">
      <c r="B810" s="31" t="s">
        <v>1371</v>
      </c>
      <c r="C810" s="31" t="s">
        <v>236</v>
      </c>
      <c r="D810" s="31" t="s">
        <v>1502</v>
      </c>
      <c r="E810" s="31" t="s">
        <v>1373</v>
      </c>
      <c r="F810" s="31" t="s">
        <v>1098</v>
      </c>
    </row>
    <row r="811" spans="2:6" x14ac:dyDescent="0.35">
      <c r="B811" s="31" t="s">
        <v>1371</v>
      </c>
      <c r="C811" s="31" t="s">
        <v>690</v>
      </c>
      <c r="D811" s="31" t="s">
        <v>1502</v>
      </c>
      <c r="E811" s="31" t="s">
        <v>1373</v>
      </c>
      <c r="F811" s="31" t="s">
        <v>1512</v>
      </c>
    </row>
    <row r="812" spans="2:6" x14ac:dyDescent="0.35">
      <c r="B812" s="31" t="s">
        <v>1371</v>
      </c>
      <c r="C812" s="31" t="s">
        <v>727</v>
      </c>
      <c r="D812" s="31" t="s">
        <v>1502</v>
      </c>
      <c r="E812" s="31" t="s">
        <v>1373</v>
      </c>
      <c r="F812" s="31" t="s">
        <v>1425</v>
      </c>
    </row>
    <row r="813" spans="2:6" x14ac:dyDescent="0.35">
      <c r="B813" s="31" t="s">
        <v>1371</v>
      </c>
      <c r="C813" s="31" t="s">
        <v>416</v>
      </c>
      <c r="D813" s="31" t="s">
        <v>1502</v>
      </c>
      <c r="E813" s="31" t="s">
        <v>1373</v>
      </c>
      <c r="F813" s="31" t="s">
        <v>1517</v>
      </c>
    </row>
    <row r="814" spans="2:6" x14ac:dyDescent="0.35">
      <c r="B814" s="31" t="s">
        <v>1371</v>
      </c>
      <c r="C814" s="31" t="s">
        <v>644</v>
      </c>
      <c r="D814" s="31" t="s">
        <v>1502</v>
      </c>
      <c r="E814" s="31" t="s">
        <v>1373</v>
      </c>
      <c r="F814" s="31" t="s">
        <v>1425</v>
      </c>
    </row>
    <row r="815" spans="2:6" x14ac:dyDescent="0.35">
      <c r="B815" s="31" t="s">
        <v>1371</v>
      </c>
      <c r="C815" s="31" t="s">
        <v>745</v>
      </c>
      <c r="D815" s="31" t="s">
        <v>1502</v>
      </c>
      <c r="E815" s="31" t="s">
        <v>1373</v>
      </c>
      <c r="F815" s="31" t="s">
        <v>1518</v>
      </c>
    </row>
    <row r="816" spans="2:6" x14ac:dyDescent="0.35">
      <c r="B816" s="31" t="s">
        <v>1371</v>
      </c>
      <c r="C816" s="31" t="s">
        <v>616</v>
      </c>
      <c r="D816" s="31" t="s">
        <v>1502</v>
      </c>
      <c r="E816" s="31" t="s">
        <v>1373</v>
      </c>
      <c r="F816" s="31" t="s">
        <v>1519</v>
      </c>
    </row>
    <row r="817" spans="2:6" x14ac:dyDescent="0.35">
      <c r="B817" s="31" t="s">
        <v>1371</v>
      </c>
      <c r="C817" s="31" t="s">
        <v>436</v>
      </c>
      <c r="D817" s="31" t="s">
        <v>1502</v>
      </c>
      <c r="E817" s="31" t="s">
        <v>1373</v>
      </c>
      <c r="F817" s="31" t="s">
        <v>1520</v>
      </c>
    </row>
    <row r="818" spans="2:6" x14ac:dyDescent="0.35">
      <c r="B818" s="31" t="s">
        <v>1371</v>
      </c>
      <c r="C818" s="31" t="s">
        <v>157</v>
      </c>
      <c r="D818" s="31" t="s">
        <v>1521</v>
      </c>
      <c r="E818" s="31" t="s">
        <v>1373</v>
      </c>
      <c r="F818" s="31" t="s">
        <v>540</v>
      </c>
    </row>
    <row r="819" spans="2:6" x14ac:dyDescent="0.35">
      <c r="B819" s="31" t="s">
        <v>1371</v>
      </c>
      <c r="C819" s="31" t="s">
        <v>718</v>
      </c>
      <c r="D819" s="31" t="s">
        <v>1521</v>
      </c>
      <c r="E819" s="31" t="s">
        <v>1373</v>
      </c>
      <c r="F819" s="31" t="s">
        <v>540</v>
      </c>
    </row>
    <row r="820" spans="2:6" x14ac:dyDescent="0.35">
      <c r="B820" s="31" t="s">
        <v>1371</v>
      </c>
      <c r="C820" s="31" t="s">
        <v>49</v>
      </c>
      <c r="D820" s="31" t="s">
        <v>1521</v>
      </c>
      <c r="E820" s="31" t="s">
        <v>1373</v>
      </c>
      <c r="F820" s="31" t="s">
        <v>60</v>
      </c>
    </row>
    <row r="821" spans="2:6" x14ac:dyDescent="0.35">
      <c r="B821" s="31" t="s">
        <v>1371</v>
      </c>
      <c r="C821" s="31" t="s">
        <v>486</v>
      </c>
      <c r="D821" s="31" t="s">
        <v>1521</v>
      </c>
      <c r="E821" s="31" t="s">
        <v>1373</v>
      </c>
      <c r="F821" s="31" t="s">
        <v>129</v>
      </c>
    </row>
    <row r="822" spans="2:6" x14ac:dyDescent="0.35">
      <c r="B822" s="31" t="s">
        <v>1371</v>
      </c>
      <c r="C822" s="31" t="s">
        <v>65</v>
      </c>
      <c r="D822" s="31" t="s">
        <v>1521</v>
      </c>
      <c r="E822" s="31" t="s">
        <v>1373</v>
      </c>
      <c r="F822" s="31" t="s">
        <v>74</v>
      </c>
    </row>
    <row r="823" spans="2:6" x14ac:dyDescent="0.35">
      <c r="B823" s="31" t="s">
        <v>1371</v>
      </c>
      <c r="C823" s="31" t="s">
        <v>93</v>
      </c>
      <c r="D823" s="31" t="s">
        <v>1521</v>
      </c>
      <c r="E823" s="31" t="s">
        <v>1373</v>
      </c>
      <c r="F823" s="31" t="s">
        <v>1045</v>
      </c>
    </row>
    <row r="824" spans="2:6" x14ac:dyDescent="0.35">
      <c r="B824" s="31" t="s">
        <v>1371</v>
      </c>
      <c r="C824" s="31" t="s">
        <v>425</v>
      </c>
      <c r="D824" s="31" t="s">
        <v>1521</v>
      </c>
      <c r="E824" s="31" t="s">
        <v>1373</v>
      </c>
      <c r="F824" s="31" t="s">
        <v>431</v>
      </c>
    </row>
    <row r="825" spans="2:6" x14ac:dyDescent="0.35">
      <c r="B825" s="31" t="s">
        <v>1371</v>
      </c>
      <c r="C825" s="31" t="s">
        <v>773</v>
      </c>
      <c r="D825" s="31" t="s">
        <v>1521</v>
      </c>
      <c r="E825" s="31" t="s">
        <v>1373</v>
      </c>
      <c r="F825" s="31" t="s">
        <v>777</v>
      </c>
    </row>
    <row r="826" spans="2:6" x14ac:dyDescent="0.35">
      <c r="B826" s="31" t="s">
        <v>1371</v>
      </c>
      <c r="C826" s="31" t="s">
        <v>553</v>
      </c>
      <c r="D826" s="31" t="s">
        <v>1521</v>
      </c>
      <c r="E826" s="31" t="s">
        <v>1373</v>
      </c>
      <c r="F826" s="31" t="s">
        <v>558</v>
      </c>
    </row>
    <row r="827" spans="2:6" x14ac:dyDescent="0.35">
      <c r="B827" s="31" t="s">
        <v>1371</v>
      </c>
      <c r="C827" s="31" t="s">
        <v>79</v>
      </c>
      <c r="D827" s="31" t="s">
        <v>1521</v>
      </c>
      <c r="E827" s="31" t="s">
        <v>1373</v>
      </c>
      <c r="F827" s="31" t="s">
        <v>1045</v>
      </c>
    </row>
    <row r="828" spans="2:6" x14ac:dyDescent="0.35">
      <c r="B828" s="31" t="s">
        <v>1371</v>
      </c>
      <c r="C828" s="31" t="s">
        <v>708</v>
      </c>
      <c r="D828" s="31" t="s">
        <v>1521</v>
      </c>
      <c r="E828" s="31" t="s">
        <v>1373</v>
      </c>
      <c r="F828" s="31" t="s">
        <v>1255</v>
      </c>
    </row>
    <row r="829" spans="2:6" x14ac:dyDescent="0.35">
      <c r="B829" s="31" t="s">
        <v>1371</v>
      </c>
      <c r="C829" s="31" t="s">
        <v>589</v>
      </c>
      <c r="D829" s="31" t="s">
        <v>1521</v>
      </c>
      <c r="E829" s="31" t="s">
        <v>1373</v>
      </c>
      <c r="F829" s="31" t="s">
        <v>129</v>
      </c>
    </row>
    <row r="830" spans="2:6" x14ac:dyDescent="0.35">
      <c r="B830" s="31" t="s">
        <v>1371</v>
      </c>
      <c r="C830" s="31" t="s">
        <v>387</v>
      </c>
      <c r="D830" s="31" t="s">
        <v>1521</v>
      </c>
      <c r="E830" s="31" t="s">
        <v>1373</v>
      </c>
      <c r="F830" s="31" t="s">
        <v>394</v>
      </c>
    </row>
    <row r="831" spans="2:6" x14ac:dyDescent="0.35">
      <c r="B831" s="31" t="s">
        <v>1371</v>
      </c>
      <c r="C831" s="31" t="s">
        <v>361</v>
      </c>
      <c r="D831" s="31" t="s">
        <v>1521</v>
      </c>
      <c r="E831" s="31" t="s">
        <v>1373</v>
      </c>
      <c r="F831" s="31" t="s">
        <v>366</v>
      </c>
    </row>
    <row r="832" spans="2:6" x14ac:dyDescent="0.35">
      <c r="B832" s="31" t="s">
        <v>1371</v>
      </c>
      <c r="C832" s="31" t="s">
        <v>536</v>
      </c>
      <c r="D832" s="31" t="s">
        <v>1521</v>
      </c>
      <c r="E832" s="31" t="s">
        <v>1373</v>
      </c>
      <c r="F832" s="31" t="s">
        <v>540</v>
      </c>
    </row>
    <row r="833" spans="2:6" x14ac:dyDescent="0.35">
      <c r="B833" s="31" t="s">
        <v>1371</v>
      </c>
      <c r="C833" s="31" t="s">
        <v>122</v>
      </c>
      <c r="D833" s="31" t="s">
        <v>1521</v>
      </c>
      <c r="E833" s="31" t="s">
        <v>1373</v>
      </c>
      <c r="F833" s="31" t="s">
        <v>129</v>
      </c>
    </row>
    <row r="834" spans="2:6" x14ac:dyDescent="0.35">
      <c r="B834" s="31" t="s">
        <v>1371</v>
      </c>
      <c r="C834" s="31" t="s">
        <v>663</v>
      </c>
      <c r="D834" s="31" t="s">
        <v>1521</v>
      </c>
      <c r="E834" s="31" t="s">
        <v>1373</v>
      </c>
      <c r="F834" s="31" t="s">
        <v>741</v>
      </c>
    </row>
    <row r="835" spans="2:6" x14ac:dyDescent="0.35">
      <c r="B835" s="31" t="s">
        <v>1371</v>
      </c>
      <c r="C835" s="31" t="s">
        <v>624</v>
      </c>
      <c r="D835" s="31" t="s">
        <v>1521</v>
      </c>
      <c r="E835" s="31" t="s">
        <v>1373</v>
      </c>
      <c r="F835" s="31" t="s">
        <v>1225</v>
      </c>
    </row>
    <row r="836" spans="2:6" x14ac:dyDescent="0.35">
      <c r="B836" s="31" t="s">
        <v>1371</v>
      </c>
      <c r="C836" s="31" t="s">
        <v>300</v>
      </c>
      <c r="D836" s="31" t="s">
        <v>1521</v>
      </c>
      <c r="E836" s="31" t="s">
        <v>1373</v>
      </c>
      <c r="F836" s="31" t="s">
        <v>1132</v>
      </c>
    </row>
    <row r="837" spans="2:6" x14ac:dyDescent="0.35">
      <c r="B837" s="31" t="s">
        <v>1371</v>
      </c>
      <c r="C837" s="31" t="s">
        <v>458</v>
      </c>
      <c r="D837" s="31" t="s">
        <v>1521</v>
      </c>
      <c r="E837" s="31" t="s">
        <v>1373</v>
      </c>
      <c r="F837" s="31" t="s">
        <v>129</v>
      </c>
    </row>
    <row r="838" spans="2:6" x14ac:dyDescent="0.35">
      <c r="B838" s="31" t="s">
        <v>1371</v>
      </c>
      <c r="C838" s="31" t="s">
        <v>259</v>
      </c>
      <c r="D838" s="31" t="s">
        <v>1521</v>
      </c>
      <c r="E838" s="31" t="s">
        <v>1373</v>
      </c>
      <c r="F838" s="31" t="s">
        <v>1106</v>
      </c>
    </row>
    <row r="839" spans="2:6" x14ac:dyDescent="0.35">
      <c r="B839" s="31" t="s">
        <v>1371</v>
      </c>
      <c r="C839" s="31" t="s">
        <v>144</v>
      </c>
      <c r="D839" s="31" t="s">
        <v>1521</v>
      </c>
      <c r="E839" s="31" t="s">
        <v>1373</v>
      </c>
      <c r="F839" s="31" t="s">
        <v>540</v>
      </c>
    </row>
    <row r="840" spans="2:6" x14ac:dyDescent="0.35">
      <c r="B840" s="31" t="s">
        <v>1371</v>
      </c>
      <c r="C840" s="31" t="s">
        <v>690</v>
      </c>
      <c r="D840" s="31" t="s">
        <v>1521</v>
      </c>
      <c r="E840" s="31" t="s">
        <v>1373</v>
      </c>
      <c r="F840" s="31" t="s">
        <v>695</v>
      </c>
    </row>
    <row r="841" spans="2:6" x14ac:dyDescent="0.35">
      <c r="B841" s="31" t="s">
        <v>1371</v>
      </c>
      <c r="C841" s="31" t="s">
        <v>339</v>
      </c>
      <c r="D841" s="31" t="s">
        <v>1521</v>
      </c>
      <c r="E841" s="31" t="s">
        <v>1373</v>
      </c>
      <c r="F841" s="31" t="s">
        <v>345</v>
      </c>
    </row>
    <row r="842" spans="2:6" x14ac:dyDescent="0.35">
      <c r="B842" s="31" t="s">
        <v>1371</v>
      </c>
      <c r="C842" s="31" t="s">
        <v>654</v>
      </c>
      <c r="D842" s="31" t="s">
        <v>1521</v>
      </c>
      <c r="E842" s="31" t="s">
        <v>1373</v>
      </c>
      <c r="F842" s="31" t="s">
        <v>741</v>
      </c>
    </row>
    <row r="843" spans="2:6" x14ac:dyDescent="0.35">
      <c r="B843" s="31" t="s">
        <v>1371</v>
      </c>
      <c r="C843" s="31" t="s">
        <v>571</v>
      </c>
      <c r="D843" s="31" t="s">
        <v>1521</v>
      </c>
      <c r="E843" s="31" t="s">
        <v>1373</v>
      </c>
      <c r="F843" s="31" t="s">
        <v>576</v>
      </c>
    </row>
    <row r="844" spans="2:6" x14ac:dyDescent="0.35">
      <c r="B844" s="31" t="s">
        <v>1371</v>
      </c>
      <c r="C844" s="31" t="s">
        <v>675</v>
      </c>
      <c r="D844" s="31" t="s">
        <v>1521</v>
      </c>
      <c r="E844" s="31" t="s">
        <v>1373</v>
      </c>
      <c r="F844" s="31" t="s">
        <v>678</v>
      </c>
    </row>
    <row r="845" spans="2:6" x14ac:dyDescent="0.35">
      <c r="B845" s="31" t="s">
        <v>1371</v>
      </c>
      <c r="C845" s="31" t="s">
        <v>745</v>
      </c>
      <c r="D845" s="31" t="s">
        <v>1521</v>
      </c>
      <c r="E845" s="31" t="s">
        <v>1373</v>
      </c>
      <c r="F845" s="31" t="s">
        <v>752</v>
      </c>
    </row>
    <row r="846" spans="2:6" x14ac:dyDescent="0.35">
      <c r="B846" s="31" t="s">
        <v>1371</v>
      </c>
      <c r="C846" s="31" t="s">
        <v>699</v>
      </c>
      <c r="D846" s="31" t="s">
        <v>1521</v>
      </c>
      <c r="E846" s="31" t="s">
        <v>1373</v>
      </c>
      <c r="F846" s="31" t="s">
        <v>704</v>
      </c>
    </row>
    <row r="847" spans="2:6" x14ac:dyDescent="0.35">
      <c r="B847" s="31" t="s">
        <v>1371</v>
      </c>
      <c r="C847" s="31" t="s">
        <v>267</v>
      </c>
      <c r="D847" s="31" t="s">
        <v>1521</v>
      </c>
      <c r="E847" s="31" t="s">
        <v>1373</v>
      </c>
      <c r="F847" s="31" t="s">
        <v>1115</v>
      </c>
    </row>
  </sheetData>
  <autoFilter ref="B5:F847" xr:uid="{00000000-0009-0000-0000-000003000000}"/>
  <pageMargins left="0.75" right="0.75" top="1" bottom="1" header="0.5" footer="0.5"/>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D87"/>
  <sheetViews>
    <sheetView showGridLines="0" workbookViewId="0"/>
  </sheetViews>
  <sheetFormatPr defaultRowHeight="14.5" x14ac:dyDescent="0.35"/>
  <cols>
    <col min="1" max="1" width="2.453125" customWidth="1"/>
    <col min="2" max="2" width="30" customWidth="1"/>
    <col min="3" max="3" width="46" customWidth="1"/>
    <col min="4" max="4" width="64" customWidth="1"/>
  </cols>
  <sheetData>
    <row r="2" spans="2:4" ht="18" customHeight="1" x14ac:dyDescent="0.4">
      <c r="B2" s="21" t="s">
        <v>1522</v>
      </c>
    </row>
    <row r="3" spans="2:4" ht="15" customHeight="1" x14ac:dyDescent="0.35"/>
    <row r="4" spans="2:4" ht="15.5" customHeight="1" x14ac:dyDescent="0.35">
      <c r="B4" s="32" t="s">
        <v>1523</v>
      </c>
    </row>
    <row r="5" spans="2:4" ht="25" customHeight="1" x14ac:dyDescent="0.35">
      <c r="B5" s="33" t="s">
        <v>1524</v>
      </c>
      <c r="C5" s="33" t="s">
        <v>1525</v>
      </c>
      <c r="D5" s="33" t="s">
        <v>1526</v>
      </c>
    </row>
    <row r="6" spans="2:4" ht="50" customHeight="1" x14ac:dyDescent="0.35">
      <c r="B6" s="33" t="s">
        <v>1527</v>
      </c>
      <c r="C6" s="33" t="s">
        <v>1528</v>
      </c>
      <c r="D6" s="33" t="s">
        <v>1529</v>
      </c>
    </row>
    <row r="7" spans="2:4" ht="25" customHeight="1" x14ac:dyDescent="0.35">
      <c r="B7" s="33" t="s">
        <v>1530</v>
      </c>
      <c r="C7" s="33" t="s">
        <v>1531</v>
      </c>
      <c r="D7" s="33" t="s">
        <v>1532</v>
      </c>
    </row>
    <row r="8" spans="2:4" ht="25" customHeight="1" x14ac:dyDescent="0.35">
      <c r="B8" s="33" t="s">
        <v>1533</v>
      </c>
      <c r="C8" s="33" t="s">
        <v>1534</v>
      </c>
      <c r="D8" s="33" t="s">
        <v>1535</v>
      </c>
    </row>
    <row r="9" spans="2:4" ht="15" customHeight="1" x14ac:dyDescent="0.35">
      <c r="B9" s="33" t="s">
        <v>1536</v>
      </c>
      <c r="C9" s="33" t="s">
        <v>1537</v>
      </c>
      <c r="D9" s="33" t="s">
        <v>1538</v>
      </c>
    </row>
    <row r="10" spans="2:4" ht="15" customHeight="1" x14ac:dyDescent="0.35"/>
    <row r="11" spans="2:4" ht="15.5" customHeight="1" x14ac:dyDescent="0.35">
      <c r="B11" s="32" t="s">
        <v>1539</v>
      </c>
    </row>
    <row r="12" spans="2:4" ht="15" customHeight="1" x14ac:dyDescent="0.35">
      <c r="B12" s="33" t="s">
        <v>1540</v>
      </c>
      <c r="C12" s="33" t="s">
        <v>1541</v>
      </c>
      <c r="D12" s="33" t="s">
        <v>1542</v>
      </c>
    </row>
    <row r="13" spans="2:4" ht="15" customHeight="1" x14ac:dyDescent="0.35">
      <c r="B13" s="33" t="s">
        <v>1543</v>
      </c>
      <c r="C13" s="33" t="s">
        <v>1544</v>
      </c>
      <c r="D13" s="33" t="s">
        <v>1545</v>
      </c>
    </row>
    <row r="14" spans="2:4" ht="25" customHeight="1" x14ac:dyDescent="0.35">
      <c r="B14" s="33" t="s">
        <v>1546</v>
      </c>
      <c r="C14" s="33" t="s">
        <v>1547</v>
      </c>
      <c r="D14" s="33" t="s">
        <v>1548</v>
      </c>
    </row>
    <row r="15" spans="2:4" ht="15" customHeight="1" x14ac:dyDescent="0.35"/>
    <row r="16" spans="2:4" ht="15.5" customHeight="1" x14ac:dyDescent="0.35">
      <c r="B16" s="32" t="s">
        <v>1549</v>
      </c>
    </row>
    <row r="17" spans="2:4" ht="25" customHeight="1" x14ac:dyDescent="0.35">
      <c r="B17" s="33" t="s">
        <v>37</v>
      </c>
      <c r="C17" s="33" t="s">
        <v>1550</v>
      </c>
      <c r="D17" s="33" t="s">
        <v>1551</v>
      </c>
    </row>
    <row r="18" spans="2:4" ht="25" customHeight="1" x14ac:dyDescent="0.35">
      <c r="B18" s="33" t="s">
        <v>219</v>
      </c>
      <c r="C18" s="33" t="s">
        <v>1552</v>
      </c>
      <c r="D18" s="33" t="s">
        <v>1553</v>
      </c>
    </row>
    <row r="19" spans="2:4" ht="25" customHeight="1" x14ac:dyDescent="0.35">
      <c r="B19" s="33" t="s">
        <v>363</v>
      </c>
      <c r="C19" s="33" t="s">
        <v>1554</v>
      </c>
      <c r="D19" s="33" t="s">
        <v>1555</v>
      </c>
    </row>
    <row r="20" spans="2:4" ht="15" customHeight="1" x14ac:dyDescent="0.35"/>
    <row r="21" spans="2:4" ht="15.5" customHeight="1" x14ac:dyDescent="0.35">
      <c r="B21" s="32" t="s">
        <v>1556</v>
      </c>
    </row>
    <row r="22" spans="2:4" ht="15" customHeight="1" x14ac:dyDescent="0.35">
      <c r="B22" s="34" t="s">
        <v>1557</v>
      </c>
      <c r="C22" s="34" t="s">
        <v>1558</v>
      </c>
      <c r="D22" s="34" t="s">
        <v>1540</v>
      </c>
    </row>
    <row r="23" spans="2:4" ht="25" customHeight="1" x14ac:dyDescent="0.35">
      <c r="B23" s="33" t="s">
        <v>1559</v>
      </c>
      <c r="C23" s="33" t="s">
        <v>1560</v>
      </c>
      <c r="D23" s="33" t="s">
        <v>1561</v>
      </c>
    </row>
    <row r="24" spans="2:4" ht="25" customHeight="1" x14ac:dyDescent="0.35">
      <c r="B24" s="33" t="s">
        <v>1562</v>
      </c>
      <c r="C24" s="33" t="s">
        <v>1563</v>
      </c>
      <c r="D24" s="33" t="s">
        <v>1564</v>
      </c>
    </row>
    <row r="25" spans="2:4" ht="15" customHeight="1" x14ac:dyDescent="0.35">
      <c r="B25" s="33" t="s">
        <v>1565</v>
      </c>
      <c r="C25" s="33" t="s">
        <v>1566</v>
      </c>
      <c r="D25" s="33" t="s">
        <v>24</v>
      </c>
    </row>
    <row r="26" spans="2:4" ht="15" customHeight="1" x14ac:dyDescent="0.35">
      <c r="B26" s="33" t="s">
        <v>1567</v>
      </c>
      <c r="C26" s="33" t="s">
        <v>1568</v>
      </c>
      <c r="D26" s="33" t="s">
        <v>1561</v>
      </c>
    </row>
    <row r="27" spans="2:4" ht="15" customHeight="1" x14ac:dyDescent="0.35">
      <c r="B27" s="33" t="s">
        <v>1569</v>
      </c>
      <c r="C27" s="33" t="s">
        <v>1570</v>
      </c>
      <c r="D27" s="33" t="s">
        <v>1571</v>
      </c>
    </row>
    <row r="28" spans="2:4" ht="15" customHeight="1" x14ac:dyDescent="0.35">
      <c r="B28" s="33" t="s">
        <v>1572</v>
      </c>
      <c r="C28" s="33" t="s">
        <v>1573</v>
      </c>
      <c r="D28" s="33" t="s">
        <v>1574</v>
      </c>
    </row>
    <row r="29" spans="2:4" ht="15" customHeight="1" x14ac:dyDescent="0.35">
      <c r="B29" s="33" t="s">
        <v>1575</v>
      </c>
      <c r="C29" s="33" t="s">
        <v>1576</v>
      </c>
      <c r="D29" s="33" t="s">
        <v>1577</v>
      </c>
    </row>
    <row r="30" spans="2:4" ht="15" customHeight="1" x14ac:dyDescent="0.35">
      <c r="B30" s="33" t="s">
        <v>1578</v>
      </c>
      <c r="C30" s="33" t="s">
        <v>1579</v>
      </c>
      <c r="D30" s="33" t="s">
        <v>1580</v>
      </c>
    </row>
    <row r="31" spans="2:4" ht="15" customHeight="1" x14ac:dyDescent="0.35"/>
    <row r="32" spans="2:4" ht="15.5" customHeight="1" x14ac:dyDescent="0.35">
      <c r="B32" s="32" t="s">
        <v>1581</v>
      </c>
    </row>
    <row r="33" spans="2:4" ht="75" customHeight="1" x14ac:dyDescent="0.35">
      <c r="B33" s="33" t="s">
        <v>1582</v>
      </c>
      <c r="C33" s="33" t="s">
        <v>1583</v>
      </c>
      <c r="D33" s="33" t="s">
        <v>1584</v>
      </c>
    </row>
    <row r="34" spans="2:4" ht="90" customHeight="1" x14ac:dyDescent="0.35">
      <c r="B34" s="33" t="s">
        <v>1585</v>
      </c>
      <c r="C34" s="33" t="s">
        <v>1586</v>
      </c>
      <c r="D34" s="33" t="s">
        <v>1587</v>
      </c>
    </row>
    <row r="35" spans="2:4" ht="50" customHeight="1" x14ac:dyDescent="0.35">
      <c r="B35" s="33" t="s">
        <v>1588</v>
      </c>
      <c r="C35" s="33" t="s">
        <v>1589</v>
      </c>
      <c r="D35" s="33" t="s">
        <v>1590</v>
      </c>
    </row>
    <row r="36" spans="2:4" ht="75" customHeight="1" x14ac:dyDescent="0.35">
      <c r="B36" s="33" t="s">
        <v>1591</v>
      </c>
      <c r="C36" s="33" t="s">
        <v>860</v>
      </c>
      <c r="D36" s="33" t="s">
        <v>1592</v>
      </c>
    </row>
    <row r="37" spans="2:4" ht="37.5" customHeight="1" x14ac:dyDescent="0.35">
      <c r="B37" s="33" t="s">
        <v>1593</v>
      </c>
      <c r="C37" s="33" t="s">
        <v>1594</v>
      </c>
      <c r="D37" s="33" t="s">
        <v>1595</v>
      </c>
    </row>
    <row r="38" spans="2:4" ht="50" customHeight="1" x14ac:dyDescent="0.35">
      <c r="B38" s="33" t="s">
        <v>1596</v>
      </c>
      <c r="C38" s="33" t="s">
        <v>1597</v>
      </c>
      <c r="D38" s="33" t="s">
        <v>1598</v>
      </c>
    </row>
    <row r="39" spans="2:4" ht="87.5" customHeight="1" x14ac:dyDescent="0.35">
      <c r="B39" s="33" t="s">
        <v>1599</v>
      </c>
      <c r="C39" s="33" t="s">
        <v>1600</v>
      </c>
      <c r="D39" s="33" t="s">
        <v>1601</v>
      </c>
    </row>
    <row r="40" spans="2:4" ht="87.5" customHeight="1" x14ac:dyDescent="0.35">
      <c r="B40" s="33" t="s">
        <v>1602</v>
      </c>
      <c r="C40" s="33" t="s">
        <v>1603</v>
      </c>
      <c r="D40" s="33" t="s">
        <v>1604</v>
      </c>
    </row>
    <row r="41" spans="2:4" ht="87.5" customHeight="1" x14ac:dyDescent="0.35">
      <c r="B41" s="33" t="s">
        <v>1605</v>
      </c>
      <c r="C41" s="33" t="s">
        <v>1606</v>
      </c>
      <c r="D41" s="33" t="s">
        <v>1607</v>
      </c>
    </row>
    <row r="42" spans="2:4" ht="62.5" customHeight="1" x14ac:dyDescent="0.35">
      <c r="B42" s="33" t="s">
        <v>1608</v>
      </c>
      <c r="C42" s="33" t="s">
        <v>1609</v>
      </c>
      <c r="D42" s="33" t="s">
        <v>1610</v>
      </c>
    </row>
    <row r="43" spans="2:4" ht="62.5" customHeight="1" x14ac:dyDescent="0.35">
      <c r="B43" s="33" t="s">
        <v>1611</v>
      </c>
      <c r="C43" s="33" t="s">
        <v>1612</v>
      </c>
      <c r="D43" s="33" t="s">
        <v>1613</v>
      </c>
    </row>
    <row r="44" spans="2:4" x14ac:dyDescent="0.35">
      <c r="B44" s="33"/>
      <c r="C44" s="33"/>
      <c r="D44" s="33"/>
    </row>
    <row r="45" spans="2:4" ht="15.5" customHeight="1" x14ac:dyDescent="0.35">
      <c r="B45" s="32" t="s">
        <v>1614</v>
      </c>
      <c r="C45" s="33"/>
      <c r="D45" s="33"/>
    </row>
    <row r="46" spans="2:4" ht="62.5" customHeight="1" x14ac:dyDescent="0.35">
      <c r="B46" s="33" t="s">
        <v>1615</v>
      </c>
      <c r="C46" s="33" t="s">
        <v>1616</v>
      </c>
      <c r="D46" s="33" t="s">
        <v>1617</v>
      </c>
    </row>
    <row r="47" spans="2:4" ht="37.5" customHeight="1" x14ac:dyDescent="0.35">
      <c r="B47" s="33" t="s">
        <v>1618</v>
      </c>
      <c r="C47" s="33" t="s">
        <v>1619</v>
      </c>
      <c r="D47" s="33" t="s">
        <v>1620</v>
      </c>
    </row>
    <row r="48" spans="2:4" ht="50" customHeight="1" x14ac:dyDescent="0.35">
      <c r="B48" s="33" t="s">
        <v>1621</v>
      </c>
      <c r="C48" s="33" t="s">
        <v>1622</v>
      </c>
      <c r="D48" s="33" t="s">
        <v>1623</v>
      </c>
    </row>
    <row r="49" spans="2:4" ht="37.5" customHeight="1" x14ac:dyDescent="0.35">
      <c r="B49" s="33" t="s">
        <v>1624</v>
      </c>
      <c r="C49" s="33" t="s">
        <v>1625</v>
      </c>
      <c r="D49" s="33" t="s">
        <v>1626</v>
      </c>
    </row>
    <row r="50" spans="2:4" ht="25" customHeight="1" x14ac:dyDescent="0.35">
      <c r="B50" s="33" t="s">
        <v>1627</v>
      </c>
      <c r="C50" s="33" t="s">
        <v>1628</v>
      </c>
      <c r="D50" s="33" t="s">
        <v>1629</v>
      </c>
    </row>
    <row r="51" spans="2:4" ht="25" customHeight="1" x14ac:dyDescent="0.35">
      <c r="B51" s="33" t="s">
        <v>1630</v>
      </c>
      <c r="C51" s="33" t="s">
        <v>1631</v>
      </c>
      <c r="D51" s="33" t="s">
        <v>1632</v>
      </c>
    </row>
    <row r="52" spans="2:4" ht="37.5" customHeight="1" x14ac:dyDescent="0.35">
      <c r="B52" s="33" t="s">
        <v>157</v>
      </c>
      <c r="C52" s="33" t="s">
        <v>1633</v>
      </c>
      <c r="D52" s="33" t="s">
        <v>1634</v>
      </c>
    </row>
    <row r="53" spans="2:4" ht="50" customHeight="1" x14ac:dyDescent="0.35">
      <c r="B53" s="33" t="s">
        <v>663</v>
      </c>
      <c r="C53" s="33" t="s">
        <v>1635</v>
      </c>
      <c r="D53" s="33" t="s">
        <v>1636</v>
      </c>
    </row>
    <row r="54" spans="2:4" ht="37.5" customHeight="1" x14ac:dyDescent="0.35">
      <c r="B54" s="33" t="s">
        <v>1589</v>
      </c>
      <c r="C54" s="33" t="s">
        <v>1637</v>
      </c>
      <c r="D54" s="33" t="s">
        <v>1638</v>
      </c>
    </row>
    <row r="55" spans="2:4" ht="37.5" customHeight="1" x14ac:dyDescent="0.35">
      <c r="B55" s="33" t="s">
        <v>1639</v>
      </c>
      <c r="C55" s="33" t="s">
        <v>1640</v>
      </c>
      <c r="D55" s="33" t="s">
        <v>1641</v>
      </c>
    </row>
    <row r="56" spans="2:4" ht="37.5" customHeight="1" x14ac:dyDescent="0.35">
      <c r="B56" s="33" t="s">
        <v>1642</v>
      </c>
      <c r="C56" s="33" t="s">
        <v>1643</v>
      </c>
      <c r="D56" s="33" t="s">
        <v>1644</v>
      </c>
    </row>
    <row r="57" spans="2:4" ht="37.5" customHeight="1" x14ac:dyDescent="0.35">
      <c r="B57" s="33" t="s">
        <v>1645</v>
      </c>
      <c r="C57" s="33" t="s">
        <v>1646</v>
      </c>
      <c r="D57" s="33" t="s">
        <v>1647</v>
      </c>
    </row>
    <row r="58" spans="2:4" ht="37.5" customHeight="1" x14ac:dyDescent="0.35">
      <c r="B58" s="33" t="s">
        <v>1648</v>
      </c>
      <c r="C58" s="33" t="s">
        <v>1649</v>
      </c>
      <c r="D58" s="33" t="s">
        <v>1650</v>
      </c>
    </row>
    <row r="59" spans="2:4" ht="37.5" customHeight="1" x14ac:dyDescent="0.35">
      <c r="B59" s="33" t="s">
        <v>1651</v>
      </c>
      <c r="C59" s="33" t="s">
        <v>1652</v>
      </c>
      <c r="D59" s="33" t="s">
        <v>1653</v>
      </c>
    </row>
    <row r="60" spans="2:4" x14ac:dyDescent="0.35">
      <c r="B60" s="33"/>
      <c r="C60" s="33"/>
      <c r="D60" s="33"/>
    </row>
    <row r="61" spans="2:4" ht="15.5" customHeight="1" x14ac:dyDescent="0.35">
      <c r="B61" s="32" t="s">
        <v>1654</v>
      </c>
      <c r="C61" s="33"/>
      <c r="D61" s="33"/>
    </row>
    <row r="62" spans="2:4" ht="62.5" customHeight="1" x14ac:dyDescent="0.35">
      <c r="B62" s="33" t="s">
        <v>654</v>
      </c>
      <c r="C62" s="33" t="s">
        <v>1655</v>
      </c>
      <c r="D62" s="33" t="s">
        <v>1656</v>
      </c>
    </row>
    <row r="63" spans="2:4" ht="37.5" customHeight="1" x14ac:dyDescent="0.35">
      <c r="B63" s="33" t="s">
        <v>510</v>
      </c>
      <c r="C63" s="33" t="s">
        <v>1657</v>
      </c>
      <c r="D63" s="33" t="s">
        <v>1658</v>
      </c>
    </row>
    <row r="64" spans="2:4" ht="25" customHeight="1" x14ac:dyDescent="0.35">
      <c r="B64" s="33" t="s">
        <v>523</v>
      </c>
      <c r="C64" s="33" t="s">
        <v>1659</v>
      </c>
      <c r="D64" s="33" t="s">
        <v>1660</v>
      </c>
    </row>
    <row r="65" spans="2:4" ht="25" customHeight="1" x14ac:dyDescent="0.35">
      <c r="B65" s="33" t="s">
        <v>387</v>
      </c>
      <c r="C65" s="33" t="s">
        <v>1661</v>
      </c>
      <c r="D65" s="33" t="s">
        <v>1662</v>
      </c>
    </row>
    <row r="66" spans="2:4" ht="50" customHeight="1" x14ac:dyDescent="0.35">
      <c r="B66" s="33" t="s">
        <v>443</v>
      </c>
      <c r="C66" s="33" t="s">
        <v>1663</v>
      </c>
      <c r="D66" s="33" t="s">
        <v>1664</v>
      </c>
    </row>
    <row r="67" spans="2:4" ht="50" customHeight="1" x14ac:dyDescent="0.35">
      <c r="B67" s="33" t="s">
        <v>1665</v>
      </c>
      <c r="C67" s="33" t="s">
        <v>1666</v>
      </c>
      <c r="D67" s="33" t="s">
        <v>1667</v>
      </c>
    </row>
    <row r="68" spans="2:4" ht="25" customHeight="1" x14ac:dyDescent="0.35">
      <c r="B68" s="33" t="s">
        <v>1668</v>
      </c>
      <c r="C68" s="33" t="s">
        <v>1669</v>
      </c>
      <c r="D68" s="33" t="s">
        <v>1670</v>
      </c>
    </row>
    <row r="70" spans="2:4" ht="15.5" customHeight="1" x14ac:dyDescent="0.35">
      <c r="B70" s="32" t="s">
        <v>1671</v>
      </c>
    </row>
    <row r="71" spans="2:4" ht="62.5" customHeight="1" x14ac:dyDescent="0.35">
      <c r="B71" s="33" t="s">
        <v>1672</v>
      </c>
      <c r="C71" s="33" t="s">
        <v>1673</v>
      </c>
      <c r="D71" s="33" t="s">
        <v>1674</v>
      </c>
    </row>
    <row r="72" spans="2:4" ht="37.5" customHeight="1" x14ac:dyDescent="0.35">
      <c r="B72" s="33" t="s">
        <v>1675</v>
      </c>
      <c r="C72" s="33" t="s">
        <v>1676</v>
      </c>
      <c r="D72" s="33" t="s">
        <v>1677</v>
      </c>
    </row>
    <row r="73" spans="2:4" ht="50" customHeight="1" x14ac:dyDescent="0.35">
      <c r="B73" s="33" t="s">
        <v>1678</v>
      </c>
      <c r="C73" s="33" t="s">
        <v>1679</v>
      </c>
      <c r="D73" s="33" t="s">
        <v>1680</v>
      </c>
    </row>
    <row r="74" spans="2:4" ht="25" customHeight="1" x14ac:dyDescent="0.35">
      <c r="B74" s="33" t="s">
        <v>1681</v>
      </c>
      <c r="C74" s="33" t="s">
        <v>1682</v>
      </c>
      <c r="D74" s="33" t="s">
        <v>1683</v>
      </c>
    </row>
    <row r="75" spans="2:4" ht="50" customHeight="1" x14ac:dyDescent="0.35">
      <c r="B75" s="33" t="s">
        <v>1684</v>
      </c>
      <c r="C75" s="33" t="s">
        <v>1685</v>
      </c>
      <c r="D75" s="33" t="s">
        <v>1686</v>
      </c>
    </row>
    <row r="77" spans="2:4" ht="15.5" customHeight="1" x14ac:dyDescent="0.35">
      <c r="B77" s="32" t="s">
        <v>1687</v>
      </c>
    </row>
    <row r="78" spans="2:4" ht="62.5" customHeight="1" x14ac:dyDescent="0.35">
      <c r="B78" s="33" t="s">
        <v>1688</v>
      </c>
      <c r="C78" s="33" t="s">
        <v>1689</v>
      </c>
      <c r="D78" s="33" t="s">
        <v>1690</v>
      </c>
    </row>
    <row r="79" spans="2:4" ht="62.5" customHeight="1" x14ac:dyDescent="0.35">
      <c r="B79" s="33" t="s">
        <v>1691</v>
      </c>
      <c r="C79" s="33" t="s">
        <v>1692</v>
      </c>
      <c r="D79" s="33" t="s">
        <v>1693</v>
      </c>
    </row>
    <row r="80" spans="2:4" ht="50" customHeight="1" x14ac:dyDescent="0.35">
      <c r="B80" s="33" t="s">
        <v>1694</v>
      </c>
      <c r="C80" s="33" t="s">
        <v>1695</v>
      </c>
      <c r="D80" s="33" t="s">
        <v>1696</v>
      </c>
    </row>
    <row r="81" spans="2:4" ht="37.5" customHeight="1" x14ac:dyDescent="0.35">
      <c r="B81" s="33" t="s">
        <v>1697</v>
      </c>
      <c r="C81" s="33" t="s">
        <v>1698</v>
      </c>
      <c r="D81" s="33" t="s">
        <v>1699</v>
      </c>
    </row>
    <row r="82" spans="2:4" ht="37.5" customHeight="1" x14ac:dyDescent="0.35">
      <c r="B82" s="33" t="s">
        <v>1700</v>
      </c>
      <c r="C82" s="33" t="s">
        <v>1701</v>
      </c>
      <c r="D82" s="33" t="s">
        <v>1702</v>
      </c>
    </row>
    <row r="83" spans="2:4" ht="62.5" customHeight="1" x14ac:dyDescent="0.35">
      <c r="B83" s="33" t="s">
        <v>1703</v>
      </c>
      <c r="C83" s="33" t="s">
        <v>1704</v>
      </c>
      <c r="D83" s="33" t="s">
        <v>1705</v>
      </c>
    </row>
    <row r="84" spans="2:4" ht="25" customHeight="1" x14ac:dyDescent="0.35">
      <c r="B84" s="33" t="s">
        <v>1706</v>
      </c>
      <c r="C84" s="33" t="s">
        <v>1707</v>
      </c>
      <c r="D84" s="33" t="s">
        <v>1708</v>
      </c>
    </row>
    <row r="86" spans="2:4" ht="15.5" customHeight="1" x14ac:dyDescent="0.35">
      <c r="B86" s="32" t="s">
        <v>1709</v>
      </c>
    </row>
    <row r="87" spans="2:4" ht="50" customHeight="1" x14ac:dyDescent="0.35">
      <c r="B87" s="33" t="s">
        <v>1710</v>
      </c>
      <c r="C87" s="33" t="s">
        <v>1711</v>
      </c>
      <c r="D87" s="33" t="s">
        <v>1712</v>
      </c>
    </row>
  </sheetData>
  <pageMargins left="0.75" right="0.7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Conferences</vt:lpstr>
      <vt:lpstr>Dashboard</vt:lpstr>
      <vt:lpstr>Active Pipeline</vt:lpstr>
      <vt:lpstr>Verification Log</vt:lpstr>
      <vt:lpstr>Notes &amp; Legend</vt:lpstr>
      <vt:lpstr>'Active Pipeline'!Print_Area</vt:lpstr>
      <vt:lpstr>Conferences!Print_Area</vt:lpstr>
      <vt:lpstr>Dashboard!Print_Area</vt:lpstr>
      <vt:lpstr>'Notes &amp; Legend'!Print_Area</vt:lpstr>
      <vt:lpstr>'Verification Log'!Print_Area</vt:lpstr>
      <vt:lpstr>'Active Pipeline'!Print_Titles</vt:lpstr>
      <vt:lpstr>Conferences!Print_Titles</vt:lpstr>
      <vt:lpstr>'Verification Log'!Print_Titles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Pavlo Radiuk</cp:lastModifiedBy>
  <dcterms:created xsi:type="dcterms:W3CDTF">2026-09-04T19:00:22Z</dcterms:created>
  <dcterms:modified xsi:type="dcterms:W3CDTF">2026-09-04T19:50:54Z</dcterms:modified>
</cp:coreProperties>
</file>